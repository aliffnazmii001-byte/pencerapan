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xr:revisionPtr revIDLastSave="0" documentId="13_ncr:1_{D889C688-C797-495A-81BC-F5AF10C11D6F}" xr6:coauthVersionLast="47" xr6:coauthVersionMax="47" xr10:uidLastSave="{00000000-0000-0000-0000-000000000000}"/>
  <bookViews>
    <workbookView xWindow="-110" yWindow="-110" windowWidth="19420" windowHeight="10420" activeTab="8" xr2:uid="{00000000-000D-0000-FFFF-FFFF00000000}"/>
  </bookViews>
  <sheets>
    <sheet name="4.1.1" sheetId="1" r:id="rId1"/>
    <sheet name="4.2.1" sheetId="2" r:id="rId2"/>
    <sheet name="4.2.2" sheetId="3" r:id="rId3"/>
    <sheet name="4.3.1" sheetId="4" r:id="rId4"/>
    <sheet name="4.4.1" sheetId="5" r:id="rId5"/>
    <sheet name="4.4.2" sheetId="6" r:id="rId6"/>
    <sheet name="4.5.1" sheetId="7" r:id="rId7"/>
    <sheet name="4.6.1" sheetId="8" r:id="rId8"/>
    <sheet name="Rumusan" sheetId="9" r:id="rId9"/>
  </sheets>
  <calcPr calcId="191028"/>
</workbook>
</file>

<file path=xl/calcChain.xml><?xml version="1.0" encoding="utf-8"?>
<calcChain xmlns="http://schemas.openxmlformats.org/spreadsheetml/2006/main">
  <c r="I3" i="9" l="1"/>
  <c r="M48" i="8"/>
  <c r="M43" i="8"/>
  <c r="M38" i="8"/>
  <c r="M33" i="8"/>
  <c r="M28" i="8"/>
  <c r="M23" i="8"/>
  <c r="M18" i="8"/>
  <c r="D49" i="8"/>
  <c r="D50" i="8" s="1"/>
  <c r="F49" i="8"/>
  <c r="F50" i="8" s="1"/>
  <c r="H49" i="8"/>
  <c r="H50" i="8" s="1"/>
  <c r="J49" i="8"/>
  <c r="J50" i="8"/>
  <c r="L49" i="8"/>
  <c r="L50" i="8"/>
  <c r="J38" i="7"/>
  <c r="J33" i="7"/>
  <c r="J28" i="7"/>
  <c r="J23" i="7"/>
  <c r="J18" i="7"/>
  <c r="D39" i="7"/>
  <c r="D40" i="7" s="1"/>
  <c r="F39" i="7"/>
  <c r="F40" i="7" s="1"/>
  <c r="G39" i="7"/>
  <c r="G40" i="7"/>
  <c r="H39" i="7"/>
  <c r="H40" i="7"/>
  <c r="I39" i="7"/>
  <c r="I40" i="7"/>
  <c r="J29" i="6"/>
  <c r="J25" i="6"/>
  <c r="J21" i="6"/>
  <c r="J17" i="6"/>
  <c r="D30" i="6"/>
  <c r="D31" i="6" s="1"/>
  <c r="F30" i="6"/>
  <c r="F31" i="6" s="1"/>
  <c r="G30" i="6"/>
  <c r="G31" i="6"/>
  <c r="H30" i="6"/>
  <c r="H31" i="6"/>
  <c r="I30" i="6"/>
  <c r="I31" i="6"/>
  <c r="J41" i="5"/>
  <c r="J37" i="5"/>
  <c r="J33" i="5"/>
  <c r="J29" i="5"/>
  <c r="J25" i="5"/>
  <c r="J21" i="5"/>
  <c r="J17" i="5"/>
  <c r="D42" i="5"/>
  <c r="D43" i="5" s="1"/>
  <c r="F42" i="5"/>
  <c r="F43" i="5" s="1"/>
  <c r="G42" i="5"/>
  <c r="G43" i="5"/>
  <c r="H42" i="5"/>
  <c r="H43" i="5"/>
  <c r="I42" i="5"/>
  <c r="I43" i="5"/>
  <c r="J38" i="4"/>
  <c r="J33" i="4"/>
  <c r="J28" i="4"/>
  <c r="J23" i="4"/>
  <c r="J18" i="4"/>
  <c r="D39" i="4"/>
  <c r="D40" i="4" s="1"/>
  <c r="F39" i="4"/>
  <c r="F40" i="4" s="1"/>
  <c r="G39" i="4"/>
  <c r="G40" i="4"/>
  <c r="H39" i="4"/>
  <c r="H40" i="4"/>
  <c r="I39" i="4"/>
  <c r="I40" i="4"/>
  <c r="J29" i="3"/>
  <c r="J25" i="3"/>
  <c r="J21" i="3"/>
  <c r="J17" i="3"/>
  <c r="D30" i="3"/>
  <c r="D31" i="3" s="1"/>
  <c r="F30" i="3"/>
  <c r="F31" i="3" s="1"/>
  <c r="G30" i="3"/>
  <c r="G31" i="3"/>
  <c r="H30" i="3"/>
  <c r="H31" i="3"/>
  <c r="I30" i="3"/>
  <c r="I31" i="3"/>
  <c r="J25" i="2"/>
  <c r="J21" i="2"/>
  <c r="J17" i="2"/>
  <c r="D26" i="2"/>
  <c r="D27" i="2" s="1"/>
  <c r="F26" i="2"/>
  <c r="F27" i="2" s="1"/>
  <c r="G26" i="2"/>
  <c r="G27" i="2"/>
  <c r="H26" i="2"/>
  <c r="H27" i="2"/>
  <c r="I26" i="2"/>
  <c r="I27" i="2"/>
  <c r="J36" i="1"/>
  <c r="J32" i="1"/>
  <c r="J28" i="1"/>
  <c r="D37" i="1"/>
  <c r="D38" i="1" s="1"/>
  <c r="F37" i="1"/>
  <c r="F38" i="1" s="1"/>
  <c r="G37" i="1"/>
  <c r="G38" i="1"/>
  <c r="H37" i="1"/>
  <c r="H38" i="1"/>
  <c r="I37" i="1"/>
  <c r="I38" i="1"/>
  <c r="H3" i="9"/>
  <c r="G3" i="9"/>
  <c r="F3" i="9"/>
  <c r="E3" i="9"/>
  <c r="D3" i="9"/>
  <c r="C3" i="9"/>
  <c r="J24" i="2"/>
  <c r="J23" i="2"/>
  <c r="J22" i="2"/>
  <c r="J20" i="2"/>
  <c r="J19" i="2"/>
  <c r="J18" i="2"/>
  <c r="J16" i="2"/>
  <c r="J15" i="2"/>
  <c r="J14" i="2"/>
  <c r="J35" i="1"/>
  <c r="J34" i="1"/>
  <c r="J33" i="1"/>
  <c r="J31" i="1"/>
  <c r="J30" i="1"/>
  <c r="J29" i="1"/>
  <c r="J27" i="1"/>
  <c r="J26" i="1"/>
  <c r="J25" i="1"/>
  <c r="J32" i="6" l="1"/>
  <c r="D32" i="6" s="1"/>
  <c r="N3" i="9" s="1"/>
  <c r="M51" i="8"/>
  <c r="D51" i="8" s="1"/>
  <c r="P3" i="9" s="1"/>
  <c r="J41" i="7"/>
  <c r="O3" i="9" s="1"/>
  <c r="J44" i="5"/>
  <c r="D44" i="5" s="1"/>
  <c r="M3" i="9" s="1"/>
  <c r="J41" i="4"/>
  <c r="D41" i="4" s="1"/>
  <c r="L3" i="9" s="1"/>
  <c r="J32" i="3"/>
  <c r="D32" i="3" s="1"/>
  <c r="K3" i="9" s="1"/>
  <c r="J28" i="2"/>
  <c r="D28" i="2" s="1"/>
  <c r="J3" i="9" s="1"/>
  <c r="J39" i="1"/>
  <c r="D39" i="1" s="1"/>
  <c r="Q3" i="9" l="1"/>
</calcChain>
</file>

<file path=xl/sharedStrings.xml><?xml version="1.0" encoding="utf-8"?>
<sst xmlns="http://schemas.openxmlformats.org/spreadsheetml/2006/main" count="747" uniqueCount="184">
  <si>
    <t>STANDARD 4:  PEMBELAJARAN DAN PEMUDAHCARAAN (PdPc)</t>
  </si>
  <si>
    <t>Nama Guru:</t>
  </si>
  <si>
    <t>No. KP:</t>
  </si>
  <si>
    <t>Jenis Penilaian:</t>
  </si>
  <si>
    <t>Tarikh:</t>
  </si>
  <si>
    <t>Mata pelajaran:</t>
  </si>
  <si>
    <t>Kelas:</t>
  </si>
  <si>
    <t>ARAHAN :</t>
  </si>
  <si>
    <t>Taipkan skor 1 pada baris SKOR SEKOLAH di mana-mana satu skala penskoran sahaja.</t>
  </si>
  <si>
    <t>PERNYATAAN STANDARD</t>
  </si>
  <si>
    <t xml:space="preserve">Guru berperanan sebagai pemudah cara dalam proses pengajaran dan pembelajaran (PdP) yang berkesan untuk memperkembangkan potensi murid secara menyeluruh dan meningkatkan pencapaian murid pada tahap optimum secara berterusan. 
</t>
  </si>
  <si>
    <t>ASPEK 4.1 : GURU SEBAGAI PERANCANG</t>
  </si>
  <si>
    <t>4.1.1</t>
  </si>
  <si>
    <t>KRITERIA KRITIKAL</t>
  </si>
  <si>
    <t xml:space="preserve">Guru bertindak sebagai perancang untuk memastikan kesediaan dan persediaan rapi dalam melaksanakan Pembelajaran dan Pemudahcaraan (PdPc).  </t>
  </si>
  <si>
    <t>STANDARD KUALITI</t>
  </si>
  <si>
    <t xml:space="preserve">Guru merancang pelaksanaan PdPc secara profesional dan sistematik. </t>
  </si>
  <si>
    <t>TINDAKAN UNTUK MENCAPAI STANDARD</t>
  </si>
  <si>
    <t>Menyediakan RPH, menentukan kaedah pentaksiran dan menyediakan sumber pendidikan mengikut keupayaan murid, peruntukan masa dan mematuhi arahan yang berkuat kuasa.</t>
  </si>
  <si>
    <t>TINDAKAN</t>
  </si>
  <si>
    <t>PENSKORAN</t>
  </si>
  <si>
    <t xml:space="preserve">Guru merancang pelaksanaan PdPc dengan: </t>
  </si>
  <si>
    <t>a)</t>
  </si>
  <si>
    <t xml:space="preserve">menyediakan RPH yang mengandungi objektif yang boleh diukur dan aktiviti pembelajaran yang sesuai </t>
  </si>
  <si>
    <t>i.</t>
  </si>
  <si>
    <t xml:space="preserve">mengikut pelbagai aras keupayaan murid </t>
  </si>
  <si>
    <t xml:space="preserve">dengan mengambil kira perkara (i) dan (ii) atau perkara (i) dan (iii) </t>
  </si>
  <si>
    <t>dengan mengambil kira perkara (ii) dan (iii)</t>
  </si>
  <si>
    <t>dengan mengambil kira 
mana-mana satu (1) perkara</t>
  </si>
  <si>
    <t xml:space="preserve">tidak mengambil kira mana-mana perkara </t>
  </si>
  <si>
    <t>ii.</t>
  </si>
  <si>
    <t xml:space="preserve">mengikut peruntukan masa yang ditetapkan </t>
  </si>
  <si>
    <t>iii.</t>
  </si>
  <si>
    <t xml:space="preserve">dengan mematuhi arahan yang berkuat kuasa/ketetapan kurikulum </t>
  </si>
  <si>
    <t>SKOR SEKOLAH</t>
  </si>
  <si>
    <t>b)</t>
  </si>
  <si>
    <t xml:space="preserve">menentukan kaedah pentaksiran </t>
  </si>
  <si>
    <t>c)</t>
  </si>
  <si>
    <t xml:space="preserve">menyediakan ABM/BBM/BBB/TMK </t>
  </si>
  <si>
    <t>Jumlah Frekuensi Aspek 4.1.1</t>
  </si>
  <si>
    <t>Skor</t>
  </si>
  <si>
    <t>Jumlah Skor Aspek 4.1.1</t>
  </si>
  <si>
    <t>ASPEK 4.2 : GURU SEBAGAI PENGAWAL</t>
  </si>
  <si>
    <t>4.2.1</t>
  </si>
  <si>
    <t xml:space="preserve">Guru bertindak sebagai pengawal pelaksanaan PdPc untuk memastikan kelancaran proses pembelajaran mengikut perancangan  </t>
  </si>
  <si>
    <t>Guru mengawal proses pembelajaran secara profesional dan terancang.</t>
  </si>
  <si>
    <t>Mengelola isi pelajaran dan masa serta memberi peluang kepada penyertaan aktif murid dalam PdPc dengan menepati objektif pelajaran, mengikut keupayaan murid dan dari semasa ke semasa.</t>
  </si>
  <si>
    <t xml:space="preserve">Guru mengawal proses pembelajaran dengan:  </t>
  </si>
  <si>
    <t xml:space="preserve">mengelola isi pelajaran/skop pembelajaran yang dirancang </t>
  </si>
  <si>
    <t xml:space="preserve">dengan menepati objektif pembelajaran </t>
  </si>
  <si>
    <t xml:space="preserve">mengikut pelbagai aras keupayaan murid/pembelajaran terbeza  </t>
  </si>
  <si>
    <t>dari semasa ke semasa</t>
  </si>
  <si>
    <t xml:space="preserve">mengelola masa PdP selaras dengan aktiviti pembelajaran </t>
  </si>
  <si>
    <t xml:space="preserve">memberi peluang kepada penyertaan aktif murid  </t>
  </si>
  <si>
    <t>Jumlah Frekuensi Aspek 4.2.1</t>
  </si>
  <si>
    <t>Jumlah Skor Aspek 4.2.1</t>
  </si>
  <si>
    <t>4.2.2</t>
  </si>
  <si>
    <t>Guru bertindak sebagai pengawal pelaksanaan PdPc untuk memastikan kelancaran proses pembelajaran mengikut perancangan.</t>
  </si>
  <si>
    <t>Guru mengawal suasana pembelajaran secara profesional dan terancang.</t>
  </si>
  <si>
    <t>Mengawasi komunikasi dan perlakuan murid, menyusun atur kedudukan murid dan mewujudkan suasana pembelajaran yang menyeronokkan mengikut kesesuaian dan keperluan, secara berhemah, menyeluruh dan dari semasa ke semasa.</t>
  </si>
  <si>
    <t xml:space="preserve">Guru mengawal suasana pembelajaran dengan:  </t>
  </si>
  <si>
    <t xml:space="preserve">mengawasi komunikasi murid dalam PdPc </t>
  </si>
  <si>
    <t xml:space="preserve">secara berhemah/mengikut kesesuaian  </t>
  </si>
  <si>
    <t xml:space="preserve">secara menyeluruh meliputi semua murid </t>
  </si>
  <si>
    <t xml:space="preserve">mengawasi perlakuan murid dalam PdPc </t>
  </si>
  <si>
    <t xml:space="preserve">menyusun atur kedudukan murid </t>
  </si>
  <si>
    <t>d)</t>
  </si>
  <si>
    <t xml:space="preserve">melaksanakan aktiviti pembelajaran yang menyeronokkan </t>
  </si>
  <si>
    <t>Jumlah Frekuensi Aspek 4.2.2</t>
  </si>
  <si>
    <t>Jumlah Skor Aspek 4.2.2</t>
  </si>
  <si>
    <t>ASPEK 4.3 : GURU SEBAGAI PEMBIMBING</t>
  </si>
  <si>
    <t>4.3.1</t>
  </si>
  <si>
    <t xml:space="preserve">Guru bertindak sebagai pembimbing untuk membolehkan murid menguasai pengetahuan, kemahiran dan mengamalkan nilai berdasarkan objektif pelajaran.  </t>
  </si>
  <si>
    <t xml:space="preserve">Guru membimbing murid secara profesional dan terancang. </t>
  </si>
  <si>
    <t xml:space="preserve">Memberi tunjuk ajar dalam menguasai isi pelajaran dan kemahiran, memandu murid membuat keputusan dan menyelesaikan masalah dan menggunakan sumber pendidikan serta menggabung jalin isi pelajaran dengan kemahiran/mata pelajaran lain mengikut keperluan dan keupayaan murid, dengan betul, tepat, secara berhemah dan bersungguh-sungguh. </t>
  </si>
  <si>
    <t xml:space="preserve">Guru membimbing murid dengan: </t>
  </si>
  <si>
    <t xml:space="preserve">memberi tunjuk ajar/tunjuk cara/panduan menguasai isi pelajaran/konsep/fakta berkaitan pelajaran </t>
  </si>
  <si>
    <t>mengikut keperluan/pelbagai aras keupayaan murid</t>
  </si>
  <si>
    <t xml:space="preserve">dengan mengambil kira 
mana-mana tiga (3) perkara </t>
  </si>
  <si>
    <t xml:space="preserve">dengan mengambil kira 
mana-mana dua (2) perkara     </t>
  </si>
  <si>
    <t xml:space="preserve">dengan mengambil kira 
mana-mana satu (1) 
perkara </t>
  </si>
  <si>
    <t>tidak mengambil kira  mana-mana perkara</t>
  </si>
  <si>
    <t>dengan betul dan tepat</t>
  </si>
  <si>
    <t>secara berhemah</t>
  </si>
  <si>
    <t>iv.</t>
  </si>
  <si>
    <t>bersungguh-sungguh</t>
  </si>
  <si>
    <t>memberi tunjuk ajar/tunjuk cara/panduan menguasai kemahiran dalam aktiviti pembelajaran</t>
  </si>
  <si>
    <t>memandu murid membuat keputusan dan menyelesaikan masalah dalam aktiviti pembelajaran</t>
  </si>
  <si>
    <t>memandu murid menggunakan/memanfaatkan sumber pendidikan berkaitan pelajaran</t>
  </si>
  <si>
    <t>e)</t>
  </si>
  <si>
    <t>menggabung/merentas/mengaitkan isi pelajaran dengan tajuk/unit/tema/nilai/kemahiran/mata pelajaran lain dalam aktiviti pembelajaran</t>
  </si>
  <si>
    <t>Jumlah Frekuensi Aspek 4.3.1</t>
  </si>
  <si>
    <t>Jumlah Skor Aspek 4.3.1</t>
  </si>
  <si>
    <t>ASPEK 4.4 : GURU SEBAGAI PENDORONG</t>
  </si>
  <si>
    <t>4.4.1</t>
  </si>
  <si>
    <t xml:space="preserve">Guru bertindak sebagai pendorong untuk meningkatkan motivasi dan kemahiran insaniah (soft skills) murid. </t>
  </si>
  <si>
    <t xml:space="preserve">Guru mendorong minda murid dalam melaksanakan aktiviti pembelajaran secara profesional dan terancang. </t>
  </si>
  <si>
    <t xml:space="preserve">Merangsang murid berkomunikasi dan berkolaboratif, mengemukakan soalan yang menjurus ke arah pemikiran kritis dan kreatif dan membuat keputusan atau menyelesaikan masalah, mewujudkan peluang untuk murid memimpin dan mengemukakan soalan berkaitan isi pelajaran serta memperoleh pengetahuan dan kemahiran secara kendiri berdasarkan objektif pelajaran, mengikut keupayaan murid dan dari semasa ke semasa. </t>
  </si>
  <si>
    <t xml:space="preserve">Guru mendorong minda murid dalam melaksanakan aktiviti pembelajaran dengan: </t>
  </si>
  <si>
    <t xml:space="preserve">merangsang murid berkomunikasi </t>
  </si>
  <si>
    <t xml:space="preserve">berdasarkan objektif pelajaran  </t>
  </si>
  <si>
    <t xml:space="preserve">merangsang murid berkolaboratif dalam aktiviti pembelajaran  </t>
  </si>
  <si>
    <t xml:space="preserve">mengemukakan soalan yang menjurus ke arah pemikiran kritis dan kreatif </t>
  </si>
  <si>
    <t>mengajukan soalan/mewujudkan situasi yang menjurus ke arah membuat keputusan dan menyelesaikan masalah</t>
  </si>
  <si>
    <t xml:space="preserve">mewujudkan peluang untuk murid memimpin </t>
  </si>
  <si>
    <t xml:space="preserve">secara berterusan </t>
  </si>
  <si>
    <t>f)</t>
  </si>
  <si>
    <t xml:space="preserve">menggalakkan murid mengemukakan soalan berkaitan isi pelajaran </t>
  </si>
  <si>
    <t>g)</t>
  </si>
  <si>
    <t>menggalakkan murid memperoleh pengetahuan dan kemahiran secara kendiri</t>
  </si>
  <si>
    <t>Jumlah Frekuensi Aspek 4.4.1</t>
  </si>
  <si>
    <t>Jumlah Skor Aspek 4.4.1</t>
  </si>
  <si>
    <t>4.4.2</t>
  </si>
  <si>
    <t xml:space="preserve">Guru mendorong emosi murid dalam melaksanakan aktiviti pembelajaran secara profesional dan terancang. </t>
  </si>
  <si>
    <t xml:space="preserve">Memberi pujian, galakan, penghargaan dan keyakinan serta prihatin terhadap keperluan murid secara berhemah, menyeluruh dan dari semasa ke semasa. </t>
  </si>
  <si>
    <t xml:space="preserve">Guru mendorong emosi murid dalam melaksanakan aktiviti pembelajaran dengan:   </t>
  </si>
  <si>
    <t xml:space="preserve">memberi pujian/galakan terhadap perlakuan positif </t>
  </si>
  <si>
    <t xml:space="preserve">secara berhemah   </t>
  </si>
  <si>
    <t>memberi penghargaan terhadap hasil kerja/idea yang bernas</t>
  </si>
  <si>
    <t>memberi keyakinan dalam mengemukakan soalan/memberi respons</t>
  </si>
  <si>
    <t xml:space="preserve">mengikut kesesuaian </t>
  </si>
  <si>
    <t>prihatin terhadap keperluan murid</t>
  </si>
  <si>
    <t>Jumlah Frekuensi Aspek 4.4.2</t>
  </si>
  <si>
    <t>Jumlah Skor Aspek 4.4.2</t>
  </si>
  <si>
    <t>ASPEK 4.5 : GURU SEBAGAI PENILAI</t>
  </si>
  <si>
    <t>4.5.1</t>
  </si>
  <si>
    <t xml:space="preserve">Guru bertindak sebagai penilai untuk mengesan tahap penguasaan murid. </t>
  </si>
  <si>
    <t xml:space="preserve">Guru melaksanakan penilaian secara sistematik dan terancang. </t>
  </si>
  <si>
    <t xml:space="preserve">Menggunakan pelbagai kaedah pentaksiran, menjalankan aktiviti pemulihan/pengayaan, memberi tugasan, membuat refleksi serta menyemak hasil kerja murid berdasarkan objektif pelajaran, mengikut arahan pelaksanaan pentaksiran yang berkuat kuasa dan ketetapan, secara menyeluruh dan dari semasa ke semasa. </t>
  </si>
  <si>
    <t xml:space="preserve">Guru melaksanakan penilaian dengan: </t>
  </si>
  <si>
    <t>menggunakan pelbagai kaedah pentaksiran dalam PdPc</t>
  </si>
  <si>
    <t>berdasarkan objektif pelajaran</t>
  </si>
  <si>
    <t>mengikut arahan pelaksanaan pentaksiran yang berkuat kuasa /ketetapan kurikulum</t>
  </si>
  <si>
    <t xml:space="preserve">secara menyeluruh kepada semua murid </t>
  </si>
  <si>
    <t xml:space="preserve">menjalankan aktiviti pemulihan/pengayaan dalam PdPc </t>
  </si>
  <si>
    <t xml:space="preserve">mengikut ketetapan kurikulum </t>
  </si>
  <si>
    <t xml:space="preserve">memberi latihan/tugasan berkaitan pelajaran  </t>
  </si>
  <si>
    <t>secara menyeluruh dari segi kecukupan dan kecakupan</t>
  </si>
  <si>
    <t>membuat refleksi PdPc</t>
  </si>
  <si>
    <t>menyemak/menilai hasil kerja/gerak kerja/latihan/tugasan</t>
  </si>
  <si>
    <t>Jumlah Frekuensi Aspek 4.5.1</t>
  </si>
  <si>
    <t>Jumlah Skor Aspek 4.5.1</t>
  </si>
  <si>
    <t>ASPEK 4.6 : MURID SEBAGAI PEMBELAJAR AKTIF</t>
  </si>
  <si>
    <t>4.6.1</t>
  </si>
  <si>
    <t xml:space="preserve">Murid bertindak sebagai pembelajar aktif untuk menguasai pengetahuan dan kemahiran serta mengamalkan nilai positif. . </t>
  </si>
  <si>
    <t xml:space="preserve">Murid melibatkan diri dalam proses pembelajaran secara berkesan. </t>
  </si>
  <si>
    <t xml:space="preserve">Memberi respons, berkomunikasi dan melaksanakan aktiviti secara kolaboratif, berpemikiran kritis dan kreatif, mengemukakan soalan, menyesaikan masalah dan mengaitkan isi pelajaran dengan kehidupan berdasarkan objektif pelajaran secara aktif, yakin dan berhemah. </t>
  </si>
  <si>
    <t>Murid melibatkan diri dalam proses pembelajaran dengan:</t>
  </si>
  <si>
    <t>memberi respons berkaitan isi pelajaran</t>
  </si>
  <si>
    <r>
      <rPr>
        <sz val="10"/>
        <color rgb="FF000000"/>
        <rFont val="Arial"/>
      </rPr>
      <t xml:space="preserve">dengan pelibatan </t>
    </r>
    <r>
      <rPr>
        <b/>
        <sz val="10"/>
        <color rgb="FF000000"/>
        <rFont val="Arial"/>
      </rPr>
      <t>90% hingga 100%</t>
    </r>
    <r>
      <rPr>
        <sz val="10"/>
        <color rgb="FF000000"/>
        <rFont val="Arial"/>
      </rPr>
      <t xml:space="preserve"> murid</t>
    </r>
  </si>
  <si>
    <r>
      <rPr>
        <sz val="10"/>
        <color rgb="FF000000"/>
        <rFont val="Arial"/>
      </rPr>
      <t xml:space="preserve">dengan pelibatan </t>
    </r>
    <r>
      <rPr>
        <b/>
        <sz val="10"/>
        <color rgb="FF000000"/>
        <rFont val="Arial"/>
      </rPr>
      <t>80% hingga 89%</t>
    </r>
    <r>
      <rPr>
        <sz val="10"/>
        <color rgb="FF000000"/>
        <rFont val="Arial"/>
      </rPr>
      <t xml:space="preserve"> murid </t>
    </r>
  </si>
  <si>
    <r>
      <rPr>
        <sz val="10"/>
        <color rgb="FF000000"/>
        <rFont val="Arial"/>
      </rPr>
      <t xml:space="preserve">dengan pelibatan </t>
    </r>
    <r>
      <rPr>
        <b/>
        <sz val="10"/>
        <color rgb="FF000000"/>
        <rFont val="Arial"/>
      </rPr>
      <t>50% hingga 79%</t>
    </r>
    <r>
      <rPr>
        <sz val="10"/>
        <color rgb="FF000000"/>
        <rFont val="Arial"/>
      </rPr>
      <t xml:space="preserve"> murid</t>
    </r>
  </si>
  <si>
    <r>
      <rPr>
        <sz val="10"/>
        <color rgb="FF000000"/>
        <rFont val="Arial"/>
      </rPr>
      <t>dengan pelibatan</t>
    </r>
    <r>
      <rPr>
        <b/>
        <sz val="10"/>
        <color rgb="FF000000"/>
        <rFont val="Arial"/>
      </rPr>
      <t xml:space="preserve"> 1% hingga 49%</t>
    </r>
    <r>
      <rPr>
        <sz val="10"/>
        <color rgb="FF000000"/>
        <rFont val="Arial"/>
      </rPr>
      <t xml:space="preserve"> murid</t>
    </r>
  </si>
  <si>
    <t xml:space="preserve">tidak memenuhi mana-mana perkara </t>
  </si>
  <si>
    <t>selaras dengan objektif pelajaran</t>
  </si>
  <si>
    <t xml:space="preserve">dengan memenuhi sekurang-kurangnya dua (2) daripada perkara (ii), (iii) atau (iv) </t>
  </si>
  <si>
    <t xml:space="preserve">dengan memenuhi  sekurang-kurangnya satu (1) daripada perkara (ii), (iii) atau (iv) </t>
  </si>
  <si>
    <t>dengan yakin</t>
  </si>
  <si>
    <t>secara berhemah/saling menghormati/bersungguh-sungguh</t>
  </si>
  <si>
    <t>berkomunikasi dalam melaksanakan aktiviti pembelajaran</t>
  </si>
  <si>
    <t>melaksanakan aktiviti pembelajaran secara kolaboratif</t>
  </si>
  <si>
    <t>memberi respons yang menjurus ke arah pemikiran kritis dan kreatif berkaitan isi pelajaran</t>
  </si>
  <si>
    <r>
      <rPr>
        <sz val="10"/>
        <color rgb="FF000000"/>
        <rFont val="Arial"/>
      </rPr>
      <t xml:space="preserve">dengan pelibatan </t>
    </r>
    <r>
      <rPr>
        <b/>
        <sz val="10"/>
        <color rgb="FF000000"/>
        <rFont val="Arial"/>
      </rPr>
      <t>50% hingga 100%</t>
    </r>
    <r>
      <rPr>
        <sz val="10"/>
        <color rgb="FF000000"/>
        <rFont val="Arial"/>
      </rPr>
      <t xml:space="preserve"> murid</t>
    </r>
  </si>
  <si>
    <r>
      <rPr>
        <sz val="10"/>
        <color rgb="FF000000"/>
        <rFont val="Arial"/>
      </rPr>
      <t xml:space="preserve">dengan pelibatan </t>
    </r>
    <r>
      <rPr>
        <b/>
        <sz val="10"/>
        <color rgb="FF000000"/>
        <rFont val="Arial"/>
      </rPr>
      <t>25% hingga 49%</t>
    </r>
    <r>
      <rPr>
        <sz val="10"/>
        <color rgb="FF000000"/>
        <rFont val="Arial"/>
      </rPr>
      <t xml:space="preserve"> murid </t>
    </r>
  </si>
  <si>
    <r>
      <rPr>
        <sz val="10"/>
        <color rgb="FF000000"/>
        <rFont val="Arial"/>
      </rPr>
      <t>dengan pelibatan</t>
    </r>
    <r>
      <rPr>
        <b/>
        <sz val="10"/>
        <color rgb="FF000000"/>
        <rFont val="Arial"/>
      </rPr>
      <t xml:space="preserve"> 10% hingga 24%</t>
    </r>
    <r>
      <rPr>
        <sz val="10"/>
        <color rgb="FF000000"/>
        <rFont val="Arial"/>
      </rPr>
      <t xml:space="preserve"> murid</t>
    </r>
  </si>
  <si>
    <r>
      <rPr>
        <sz val="10"/>
        <color rgb="FF000000"/>
        <rFont val="Arial"/>
      </rPr>
      <t xml:space="preserve">dengan pelibatan kurang daripada </t>
    </r>
    <r>
      <rPr>
        <b/>
        <sz val="10"/>
        <color rgb="FF000000"/>
        <rFont val="Arial"/>
      </rPr>
      <t>10%  murid</t>
    </r>
  </si>
  <si>
    <t xml:space="preserve">denganmemenuhi sekurang-kurangnya satu (1) daripada perkara (ii), (iii) atau (iv) </t>
  </si>
  <si>
    <t xml:space="preserve">denga memenuhi sekurang-kurangnya satu (1) daripada perkara (ii), (iii) atau (iv) </t>
  </si>
  <si>
    <t>mengemukakan soalan berkaitan isi pelajaran</t>
  </si>
  <si>
    <t>mengaitkan isi pelajaran dengan kehidupan murid/isu lokal/global</t>
  </si>
  <si>
    <t>membuat keputusan/menyelesaikan masalah berkaitan aktiviti pembelajaran</t>
  </si>
  <si>
    <t>Jumlah Frekuensi Aspek 4.6.1</t>
  </si>
  <si>
    <t>Jumlah Skor Aspek 4.6.1</t>
  </si>
  <si>
    <t>Nama Guru</t>
  </si>
  <si>
    <t>No. KP</t>
  </si>
  <si>
    <t>Jenis Penilaian</t>
  </si>
  <si>
    <t>Tarikh</t>
  </si>
  <si>
    <t>Mata pelajaran</t>
  </si>
  <si>
    <t>Kelas</t>
  </si>
  <si>
    <t>Jumlah skor</t>
  </si>
  <si>
    <t>ULASAN DAN CADANGAN PENAMBAHBAIKAN</t>
  </si>
  <si>
    <t>JUMLAH SKOR :  85.47</t>
  </si>
  <si>
    <t xml:space="preserve">Nama Pemantau  : </t>
  </si>
  <si>
    <t>Jawatan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</si>
</sst>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scheme val="minor"/>
    </font>
    <font>
      <sz val="10"/>
      <color rgb="FF000000"/>
      <name val="Arial"/>
    </font>
    <font>
      <b/>
      <sz val="10"/>
      <color rgb="FFFFFFFF"/>
      <name val="Arial"/>
    </font>
    <font>
      <sz val="11"/>
      <name val="Calibri"/>
    </font>
    <font>
      <b/>
      <sz val="10"/>
      <name val="Arial"/>
    </font>
    <font>
      <b/>
      <sz val="10"/>
      <color rgb="FF000000"/>
      <name val="Arial"/>
    </font>
    <font>
      <sz val="10"/>
      <name val="Arial"/>
    </font>
    <font>
      <sz val="11"/>
      <color rgb="FF000000"/>
      <name val="Calibri"/>
    </font>
    <font>
      <b/>
      <sz val="10"/>
      <color rgb="FFFF0000"/>
      <name val="Arial"/>
    </font>
    <font>
      <sz val="10"/>
      <color rgb="FFFFFFFF"/>
      <name val="Arial"/>
    </font>
    <font>
      <u/>
      <sz val="10"/>
      <color rgb="FF000000"/>
      <name val="Arial"/>
    </font>
    <font>
      <sz val="11"/>
      <name val="Calibri"/>
    </font>
    <font>
      <sz val="11"/>
      <color rgb="FF0563C1"/>
      <name val="Arial"/>
    </font>
    <font>
      <sz val="11"/>
      <color rgb="FFFFFFFF"/>
      <name val="Calibri"/>
    </font>
    <font>
      <b/>
      <sz val="11"/>
      <color rgb="FF000000"/>
      <name val="Calibri"/>
      <family val="2"/>
      <scheme val="minor"/>
    </font>
  </fonts>
  <fills count="6">
    <fill>
      <patternFill patternType="none"/>
    </fill>
    <fill>
      <patternFill patternType="gray125"/>
    </fill>
    <fill>
      <patternFill patternType="solid">
        <fgColor rgb="FF002060"/>
        <bgColor rgb="FF002060"/>
      </patternFill>
    </fill>
    <fill>
      <patternFill patternType="solid">
        <fgColor rgb="FFDEEBF7"/>
        <bgColor rgb="FFDEEBF7"/>
      </patternFill>
    </fill>
    <fill>
      <patternFill patternType="solid">
        <fgColor rgb="FF000000"/>
        <bgColor rgb="FF000000"/>
      </patternFill>
    </fill>
    <fill>
      <patternFill patternType="solid">
        <fgColor rgb="FFFFE699"/>
        <bgColor rgb="FFFFE699"/>
      </patternFill>
    </fill>
  </fills>
  <borders count="64">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top style="double">
        <color rgb="FF000000"/>
      </top>
      <bottom style="double">
        <color rgb="FF000000"/>
      </bottom>
      <diagonal/>
    </border>
    <border>
      <left/>
      <right/>
      <top style="double">
        <color rgb="FF000000"/>
      </top>
      <bottom style="double">
        <color rgb="FF000000"/>
      </bottom>
      <diagonal/>
    </border>
    <border>
      <left/>
      <right style="thin">
        <color rgb="FF000000"/>
      </right>
      <top style="double">
        <color rgb="FF000000"/>
      </top>
      <bottom style="double">
        <color rgb="FF000000"/>
      </bottom>
      <diagonal/>
    </border>
    <border>
      <left style="thin">
        <color rgb="FF000000"/>
      </left>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medium">
        <color rgb="FF000000"/>
      </right>
      <top style="double">
        <color rgb="FF000000"/>
      </top>
      <bottom style="double">
        <color rgb="FF000000"/>
      </bottom>
      <diagonal/>
    </border>
    <border>
      <left style="medium">
        <color rgb="FF000000"/>
      </left>
      <right/>
      <top/>
      <bottom style="double">
        <color rgb="FF000000"/>
      </bottom>
      <diagonal/>
    </border>
    <border>
      <left/>
      <right/>
      <top/>
      <bottom style="double">
        <color rgb="FF000000"/>
      </bottom>
      <diagonal/>
    </border>
    <border>
      <left/>
      <right style="thin">
        <color rgb="FF000000"/>
      </right>
      <top/>
      <bottom style="double">
        <color rgb="FF000000"/>
      </bottom>
      <diagonal/>
    </border>
    <border>
      <left style="thin">
        <color rgb="FF000000"/>
      </left>
      <right/>
      <top/>
      <bottom style="double">
        <color rgb="FF000000"/>
      </bottom>
      <diagonal/>
    </border>
    <border>
      <left style="thin">
        <color rgb="FF000000"/>
      </left>
      <right style="thin">
        <color rgb="FF000000"/>
      </right>
      <top/>
      <bottom style="double">
        <color rgb="FF000000"/>
      </bottom>
      <diagonal/>
    </border>
    <border>
      <left style="thin">
        <color rgb="FF000000"/>
      </left>
      <right style="medium">
        <color rgb="FF000000"/>
      </right>
      <top/>
      <bottom style="double">
        <color rgb="FF000000"/>
      </bottom>
      <diagonal/>
    </border>
    <border>
      <left style="thin">
        <color rgb="FF000000"/>
      </left>
      <right/>
      <top/>
      <bottom/>
      <diagonal/>
    </border>
    <border>
      <left/>
      <right style="thin">
        <color rgb="FF000000"/>
      </right>
      <top/>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s>
  <cellStyleXfs count="1">
    <xf numFmtId="0" fontId="0" fillId="0" borderId="0"/>
  </cellStyleXfs>
  <cellXfs count="133">
    <xf numFmtId="0" fontId="0" fillId="0" borderId="0" xfId="0"/>
    <xf numFmtId="0" fontId="1" fillId="0" borderId="0" xfId="0" applyFont="1"/>
    <xf numFmtId="0" fontId="2"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vertical="center"/>
    </xf>
    <xf numFmtId="0" fontId="5" fillId="0" borderId="0" xfId="0" applyFont="1"/>
    <xf numFmtId="0" fontId="7" fillId="0" borderId="0" xfId="0" applyFont="1"/>
    <xf numFmtId="0" fontId="4" fillId="0" borderId="0" xfId="0" applyFont="1" applyAlignment="1">
      <alignment horizontal="center"/>
    </xf>
    <xf numFmtId="0" fontId="4" fillId="5" borderId="17" xfId="0" applyFont="1" applyFill="1" applyBorder="1" applyAlignment="1">
      <alignment horizontal="center" vertical="center"/>
    </xf>
    <xf numFmtId="0" fontId="4" fillId="5" borderId="18" xfId="0" applyFont="1" applyFill="1" applyBorder="1" applyAlignment="1">
      <alignment horizontal="center" vertical="center"/>
    </xf>
    <xf numFmtId="0" fontId="1" fillId="0" borderId="20" xfId="0" applyFont="1" applyBorder="1" applyAlignment="1">
      <alignment horizontal="right" vertical="top"/>
    </xf>
    <xf numFmtId="0" fontId="1" fillId="0" borderId="22" xfId="0" applyFont="1" applyBorder="1" applyAlignment="1">
      <alignment horizontal="left" vertical="top" wrapText="1"/>
    </xf>
    <xf numFmtId="0" fontId="8" fillId="0" borderId="0" xfId="0" applyFont="1" applyAlignment="1">
      <alignment horizontal="center" vertical="center"/>
    </xf>
    <xf numFmtId="0" fontId="1" fillId="0" borderId="26" xfId="0" applyFont="1" applyBorder="1" applyAlignment="1">
      <alignment horizontal="right" vertical="top"/>
    </xf>
    <xf numFmtId="0" fontId="1" fillId="0" borderId="27" xfId="0" applyFont="1" applyBorder="1" applyAlignment="1">
      <alignment horizontal="left" vertical="top" wrapText="1"/>
    </xf>
    <xf numFmtId="0" fontId="1" fillId="0" borderId="31" xfId="0" applyFont="1" applyBorder="1" applyAlignment="1">
      <alignment horizontal="right" vertical="top"/>
    </xf>
    <xf numFmtId="0" fontId="1" fillId="0" borderId="33" xfId="0" applyFont="1" applyBorder="1" applyAlignment="1">
      <alignment horizontal="left" vertical="top" wrapText="1"/>
    </xf>
    <xf numFmtId="0" fontId="1" fillId="3" borderId="40" xfId="0" applyFont="1" applyFill="1" applyBorder="1" applyAlignment="1">
      <alignment horizontal="center" vertical="center" wrapText="1"/>
    </xf>
    <xf numFmtId="0" fontId="1" fillId="3" borderId="41" xfId="0" applyFont="1" applyFill="1" applyBorder="1" applyAlignment="1">
      <alignment horizontal="center" vertical="top" wrapText="1"/>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9" fillId="0" borderId="0" xfId="0" applyFont="1"/>
    <xf numFmtId="0" fontId="10" fillId="0" borderId="0" xfId="0" applyFont="1"/>
    <xf numFmtId="0" fontId="1" fillId="0" borderId="0" xfId="0" applyFont="1" applyAlignment="1">
      <alignment vertical="top" wrapText="1"/>
    </xf>
    <xf numFmtId="0" fontId="1" fillId="0" borderId="0" xfId="0" applyFont="1" applyAlignment="1">
      <alignment horizontal="left" vertical="top" wrapText="1"/>
    </xf>
    <xf numFmtId="0" fontId="11" fillId="0" borderId="0" xfId="0" applyFont="1" applyAlignment="1">
      <alignment horizontal="center"/>
    </xf>
    <xf numFmtId="0" fontId="12" fillId="0" borderId="0" xfId="0" applyFont="1" applyAlignment="1">
      <alignment horizontal="center"/>
    </xf>
    <xf numFmtId="0" fontId="4" fillId="0" borderId="51" xfId="0" applyFont="1" applyBorder="1" applyAlignment="1">
      <alignment horizontal="center" vertical="center"/>
    </xf>
    <xf numFmtId="0" fontId="4" fillId="0" borderId="52" xfId="0" applyFont="1" applyBorder="1" applyAlignment="1">
      <alignment horizontal="center" vertical="center"/>
    </xf>
    <xf numFmtId="0" fontId="4" fillId="0" borderId="57" xfId="0" applyFont="1" applyBorder="1" applyAlignment="1">
      <alignment horizontal="center" vertical="center"/>
    </xf>
    <xf numFmtId="0" fontId="4" fillId="0" borderId="58" xfId="0" applyFont="1" applyBorder="1" applyAlignment="1">
      <alignment horizontal="center" vertical="center"/>
    </xf>
    <xf numFmtId="0" fontId="11" fillId="0" borderId="0" xfId="0" applyFont="1"/>
    <xf numFmtId="0" fontId="11" fillId="0" borderId="0" xfId="0" applyFont="1" applyAlignment="1">
      <alignment horizontal="center" vertical="center"/>
    </xf>
    <xf numFmtId="0" fontId="1" fillId="0" borderId="20" xfId="0" applyFont="1" applyBorder="1" applyAlignment="1">
      <alignment horizontal="center" vertical="center" wrapText="1"/>
    </xf>
    <xf numFmtId="0" fontId="1" fillId="0" borderId="21" xfId="0" applyFont="1" applyBorder="1" applyAlignment="1">
      <alignment horizontal="left" vertical="top" wrapText="1"/>
    </xf>
    <xf numFmtId="0" fontId="1" fillId="0" borderId="26"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32" xfId="0" applyFont="1" applyBorder="1" applyAlignment="1">
      <alignment horizontal="left" vertical="top" wrapText="1"/>
    </xf>
    <xf numFmtId="0" fontId="1" fillId="3" borderId="41"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6" fillId="0" borderId="41" xfId="0" applyFont="1" applyBorder="1" applyAlignment="1">
      <alignment horizontal="center" vertical="center"/>
    </xf>
    <xf numFmtId="0" fontId="13" fillId="2" borderId="17" xfId="0" applyFont="1" applyFill="1" applyBorder="1"/>
    <xf numFmtId="0" fontId="13" fillId="2" borderId="17" xfId="0" applyFont="1" applyFill="1" applyBorder="1" applyAlignment="1">
      <alignment horizontal="center" vertical="center"/>
    </xf>
    <xf numFmtId="0" fontId="13" fillId="0" borderId="0" xfId="0" applyFont="1" applyAlignment="1">
      <alignment horizontal="center" vertical="center"/>
    </xf>
    <xf numFmtId="0" fontId="7" fillId="0" borderId="17" xfId="0" applyFont="1" applyBorder="1" applyAlignment="1">
      <alignment horizontal="left" vertical="center" wrapText="1"/>
    </xf>
    <xf numFmtId="1" fontId="7" fillId="0" borderId="17" xfId="0" applyNumberFormat="1" applyFont="1" applyBorder="1" applyAlignment="1">
      <alignment horizontal="left" vertical="center" wrapText="1"/>
    </xf>
    <xf numFmtId="2" fontId="7" fillId="0" borderId="17" xfId="0" applyNumberFormat="1" applyFont="1" applyBorder="1" applyAlignment="1">
      <alignment horizontal="center" vertical="center"/>
    </xf>
    <xf numFmtId="2" fontId="7" fillId="0" borderId="0" xfId="0" applyNumberFormat="1" applyFont="1" applyAlignment="1">
      <alignment horizontal="center" vertical="center"/>
    </xf>
    <xf numFmtId="0" fontId="14" fillId="0" borderId="0" xfId="0" applyFont="1"/>
    <xf numFmtId="0" fontId="6" fillId="0" borderId="11" xfId="0" applyFont="1" applyBorder="1" applyAlignment="1">
      <alignment horizontal="left" vertical="center" wrapText="1"/>
    </xf>
    <xf numFmtId="0" fontId="3" fillId="0" borderId="7" xfId="0" applyFont="1" applyBorder="1"/>
    <xf numFmtId="0" fontId="3" fillId="0" borderId="12" xfId="0" applyFont="1" applyBorder="1"/>
    <xf numFmtId="0" fontId="4" fillId="5" borderId="11" xfId="0" applyFont="1" applyFill="1" applyBorder="1" applyAlignment="1">
      <alignment horizontal="left" vertical="center"/>
    </xf>
    <xf numFmtId="0" fontId="6" fillId="0" borderId="11" xfId="0" applyFont="1" applyBorder="1" applyAlignment="1">
      <alignment horizontal="left" vertical="center"/>
    </xf>
    <xf numFmtId="0" fontId="4" fillId="3" borderId="6" xfId="0" applyFont="1" applyFill="1" applyBorder="1" applyAlignment="1">
      <alignment horizontal="left" vertical="center"/>
    </xf>
    <xf numFmtId="0" fontId="2" fillId="2" borderId="8" xfId="0" applyFont="1" applyFill="1" applyBorder="1" applyAlignment="1">
      <alignment horizontal="left" vertical="center"/>
    </xf>
    <xf numFmtId="0" fontId="3" fillId="0" borderId="9" xfId="0" applyFont="1" applyBorder="1"/>
    <xf numFmtId="0" fontId="3" fillId="0" borderId="10" xfId="0" applyFont="1" applyBorder="1"/>
    <xf numFmtId="0" fontId="6" fillId="0" borderId="11" xfId="0" applyFont="1" applyBorder="1" applyAlignment="1">
      <alignment horizontal="left" vertical="top" wrapText="1"/>
    </xf>
    <xf numFmtId="0" fontId="2" fillId="2" borderId="11" xfId="0" applyFont="1" applyFill="1" applyBorder="1" applyAlignment="1">
      <alignment horizontal="left" vertical="center"/>
    </xf>
    <xf numFmtId="0" fontId="2" fillId="4" borderId="11" xfId="0" applyFont="1" applyFill="1" applyBorder="1" applyAlignment="1">
      <alignment horizontal="center" vertical="center"/>
    </xf>
    <xf numFmtId="0" fontId="3" fillId="0" borderId="13" xfId="0" applyFont="1" applyBorder="1"/>
    <xf numFmtId="0" fontId="4" fillId="0" borderId="14" xfId="0" applyFont="1" applyBorder="1" applyAlignment="1">
      <alignment horizontal="center" vertical="center"/>
    </xf>
    <xf numFmtId="0" fontId="1" fillId="0" borderId="28" xfId="0" applyFont="1" applyBorder="1" applyAlignment="1">
      <alignment horizontal="left" vertical="top" wrapText="1"/>
    </xf>
    <xf numFmtId="0" fontId="3" fillId="0" borderId="28" xfId="0" applyFont="1" applyBorder="1"/>
    <xf numFmtId="0" fontId="3" fillId="0" borderId="34" xfId="0" applyFont="1" applyBorder="1"/>
    <xf numFmtId="0" fontId="1" fillId="0" borderId="29" xfId="0" applyFont="1" applyBorder="1" applyAlignment="1">
      <alignment horizontal="left" vertical="top" wrapText="1"/>
    </xf>
    <xf numFmtId="0" fontId="3" fillId="0" borderId="29" xfId="0" applyFont="1" applyBorder="1"/>
    <xf numFmtId="0" fontId="3" fillId="0" borderId="35" xfId="0" applyFont="1" applyBorder="1"/>
    <xf numFmtId="0" fontId="4" fillId="0" borderId="45" xfId="0" applyFont="1" applyBorder="1" applyAlignment="1">
      <alignment horizontal="center" vertical="center"/>
    </xf>
    <xf numFmtId="0" fontId="3" fillId="0" borderId="43" xfId="0" applyFont="1" applyBorder="1"/>
    <xf numFmtId="0" fontId="3" fillId="0" borderId="46" xfId="0" applyFont="1" applyBorder="1"/>
    <xf numFmtId="0" fontId="6" fillId="0" borderId="36" xfId="0" applyFont="1" applyBorder="1" applyAlignment="1">
      <alignment horizontal="right" vertical="center"/>
    </xf>
    <xf numFmtId="0" fontId="3" fillId="0" borderId="37" xfId="0" applyFont="1" applyBorder="1"/>
    <xf numFmtId="0" fontId="3" fillId="0" borderId="38" xfId="0" applyFont="1" applyBorder="1"/>
    <xf numFmtId="0" fontId="1" fillId="0" borderId="0" xfId="0" applyFont="1" applyAlignment="1">
      <alignment horizontal="left" vertical="top" wrapText="1"/>
    </xf>
    <xf numFmtId="0" fontId="0" fillId="0" borderId="0" xfId="0"/>
    <xf numFmtId="0" fontId="5" fillId="0" borderId="20" xfId="0" applyFont="1" applyBorder="1" applyAlignment="1">
      <alignment horizontal="left" vertical="top" wrapText="1"/>
    </xf>
    <xf numFmtId="0" fontId="3" fillId="0" borderId="21" xfId="0" applyFont="1" applyBorder="1"/>
    <xf numFmtId="0" fontId="3" fillId="0" borderId="26" xfId="0" applyFont="1" applyBorder="1"/>
    <xf numFmtId="0" fontId="3" fillId="0" borderId="31" xfId="0" applyFont="1" applyBorder="1"/>
    <xf numFmtId="0" fontId="3" fillId="0" borderId="32" xfId="0" applyFont="1" applyBorder="1"/>
    <xf numFmtId="0" fontId="5" fillId="0" borderId="26" xfId="0" applyFont="1" applyBorder="1" applyAlignment="1">
      <alignment horizontal="left" vertical="top" wrapText="1"/>
    </xf>
    <xf numFmtId="0" fontId="5" fillId="5" borderId="36" xfId="0" applyFont="1" applyFill="1" applyBorder="1" applyAlignment="1">
      <alignment horizontal="center" vertical="center" wrapText="1"/>
    </xf>
    <xf numFmtId="0" fontId="1" fillId="3" borderId="39" xfId="0" applyFont="1" applyFill="1" applyBorder="1" applyAlignment="1">
      <alignment horizontal="center" vertical="center"/>
    </xf>
    <xf numFmtId="0" fontId="6" fillId="0" borderId="42" xfId="0" applyFont="1" applyBorder="1" applyAlignment="1">
      <alignment horizontal="right" vertical="center"/>
    </xf>
    <xf numFmtId="0" fontId="3" fillId="0" borderId="44" xfId="0" applyFont="1" applyBorder="1"/>
    <xf numFmtId="0" fontId="4" fillId="0" borderId="39" xfId="0" applyFont="1" applyBorder="1" applyAlignment="1">
      <alignment horizontal="center" vertical="center"/>
    </xf>
    <xf numFmtId="0" fontId="1" fillId="0" borderId="25" xfId="0" applyFont="1" applyBorder="1" applyAlignment="1">
      <alignment horizontal="right" vertical="top"/>
    </xf>
    <xf numFmtId="0" fontId="3" fillId="0" borderId="25" xfId="0" applyFont="1" applyBorder="1"/>
    <xf numFmtId="0" fontId="3" fillId="0" borderId="30" xfId="0" applyFont="1" applyBorder="1"/>
    <xf numFmtId="0" fontId="2" fillId="2" borderId="1" xfId="0" applyFont="1" applyFill="1" applyBorder="1" applyAlignment="1">
      <alignment horizontal="left" vertical="center"/>
    </xf>
    <xf numFmtId="0" fontId="3" fillId="0" borderId="2" xfId="0" applyFont="1" applyBorder="1"/>
    <xf numFmtId="0" fontId="3" fillId="0" borderId="3" xfId="0" applyFont="1" applyBorder="1"/>
    <xf numFmtId="0" fontId="4" fillId="0" borderId="0" xfId="0" applyFont="1" applyAlignment="1">
      <alignment horizontal="right" vertical="center"/>
    </xf>
    <xf numFmtId="0" fontId="4" fillId="3" borderId="4" xfId="0" applyFont="1" applyFill="1" applyBorder="1" applyAlignment="1">
      <alignment horizontal="left" vertical="center"/>
    </xf>
    <xf numFmtId="0" fontId="3" fillId="0" borderId="5" xfId="0" applyFont="1" applyBorder="1"/>
    <xf numFmtId="1" fontId="4" fillId="3" borderId="6" xfId="0" applyNumberFormat="1" applyFont="1" applyFill="1" applyBorder="1" applyAlignment="1">
      <alignment horizontal="left" vertical="center"/>
    </xf>
    <xf numFmtId="14" fontId="4" fillId="3" borderId="4" xfId="0" applyNumberFormat="1" applyFont="1" applyFill="1" applyBorder="1" applyAlignment="1">
      <alignment horizontal="left" vertical="center"/>
    </xf>
    <xf numFmtId="0" fontId="1" fillId="0" borderId="27" xfId="0" applyFont="1" applyBorder="1" applyAlignment="1">
      <alignment horizontal="left" vertical="top" wrapText="1"/>
    </xf>
    <xf numFmtId="0" fontId="3" fillId="0" borderId="27" xfId="0" applyFont="1" applyBorder="1"/>
    <xf numFmtId="0" fontId="3" fillId="0" borderId="33" xfId="0" applyFont="1" applyBorder="1"/>
    <xf numFmtId="0" fontId="1" fillId="0" borderId="23" xfId="0" applyFont="1" applyBorder="1" applyAlignment="1">
      <alignment horizontal="left" vertical="top" wrapText="1"/>
    </xf>
    <xf numFmtId="0" fontId="1" fillId="0" borderId="24" xfId="0" applyFont="1" applyBorder="1" applyAlignment="1">
      <alignment horizontal="left" vertical="top" wrapText="1"/>
    </xf>
    <xf numFmtId="0" fontId="4" fillId="5" borderId="11" xfId="0" applyFont="1" applyFill="1" applyBorder="1" applyAlignment="1">
      <alignment horizontal="center"/>
    </xf>
    <xf numFmtId="0" fontId="4" fillId="5" borderId="14" xfId="0" applyFont="1" applyFill="1" applyBorder="1" applyAlignment="1">
      <alignment horizontal="center" vertical="center"/>
    </xf>
    <xf numFmtId="0" fontId="4" fillId="5" borderId="11" xfId="0" applyFont="1" applyFill="1" applyBorder="1" applyAlignment="1">
      <alignment horizontal="left" vertical="top" wrapText="1"/>
    </xf>
    <xf numFmtId="0" fontId="5" fillId="5" borderId="15" xfId="0" applyFont="1" applyFill="1" applyBorder="1" applyAlignment="1">
      <alignment horizontal="center" vertical="center"/>
    </xf>
    <xf numFmtId="0" fontId="3" fillId="0" borderId="16" xfId="0" applyFont="1" applyBorder="1"/>
    <xf numFmtId="0" fontId="1" fillId="0" borderId="19" xfId="0" applyFont="1" applyBorder="1" applyAlignment="1">
      <alignment horizontal="right" vertical="top"/>
    </xf>
    <xf numFmtId="0" fontId="1" fillId="0" borderId="22" xfId="0" applyFont="1" applyBorder="1" applyAlignment="1">
      <alignment horizontal="left" vertical="top" wrapText="1"/>
    </xf>
    <xf numFmtId="0" fontId="6" fillId="0" borderId="47" xfId="0" applyFont="1" applyBorder="1" applyAlignment="1">
      <alignment horizontal="right" vertical="center"/>
    </xf>
    <xf numFmtId="0" fontId="3" fillId="0" borderId="48" xfId="0" applyFont="1" applyBorder="1"/>
    <xf numFmtId="0" fontId="3" fillId="0" borderId="49" xfId="0" applyFont="1" applyBorder="1"/>
    <xf numFmtId="0" fontId="4" fillId="0" borderId="50" xfId="0" applyFont="1" applyBorder="1" applyAlignment="1">
      <alignment horizontal="center" vertical="center"/>
    </xf>
    <xf numFmtId="0" fontId="6" fillId="0" borderId="53" xfId="0" applyFont="1" applyBorder="1" applyAlignment="1">
      <alignment horizontal="right" vertical="center"/>
    </xf>
    <xf numFmtId="0" fontId="3" fillId="0" borderId="54" xfId="0" applyFont="1" applyBorder="1"/>
    <xf numFmtId="0" fontId="3" fillId="0" borderId="55" xfId="0" applyFont="1" applyBorder="1"/>
    <xf numFmtId="0" fontId="4" fillId="0" borderId="56" xfId="0" applyFont="1" applyBorder="1" applyAlignment="1">
      <alignment horizontal="center" vertical="center"/>
    </xf>
    <xf numFmtId="0" fontId="1" fillId="0" borderId="62" xfId="0" applyFont="1" applyBorder="1" applyAlignment="1">
      <alignment horizontal="left" vertical="top" wrapText="1"/>
    </xf>
    <xf numFmtId="0" fontId="3" fillId="0" borderId="62" xfId="0" applyFont="1" applyBorder="1"/>
    <xf numFmtId="0" fontId="3" fillId="0" borderId="63" xfId="0" applyFont="1" applyBorder="1"/>
    <xf numFmtId="0" fontId="1" fillId="3" borderId="39" xfId="0" applyFont="1" applyFill="1" applyBorder="1" applyAlignment="1">
      <alignment horizontal="center" vertical="center" wrapText="1"/>
    </xf>
    <xf numFmtId="0" fontId="1" fillId="0" borderId="42" xfId="0" applyFont="1" applyBorder="1" applyAlignment="1">
      <alignment horizontal="right" vertical="top"/>
    </xf>
    <xf numFmtId="0" fontId="6" fillId="0" borderId="45" xfId="0" applyFont="1" applyBorder="1" applyAlignment="1">
      <alignment horizontal="center" vertical="center"/>
    </xf>
    <xf numFmtId="0" fontId="1" fillId="0" borderId="36" xfId="0" applyFont="1" applyBorder="1" applyAlignment="1">
      <alignment horizontal="right" vertical="top"/>
    </xf>
    <xf numFmtId="0" fontId="1" fillId="3" borderId="59" xfId="0" applyFont="1" applyFill="1" applyBorder="1" applyAlignment="1">
      <alignment horizontal="center" vertical="center"/>
    </xf>
    <xf numFmtId="0" fontId="3" fillId="0" borderId="60" xfId="0" applyFont="1" applyBorder="1"/>
    <xf numFmtId="0" fontId="1" fillId="0" borderId="61" xfId="0" applyFont="1" applyBorder="1" applyAlignment="1">
      <alignment horizontal="left" vertical="top" wrapText="1"/>
    </xf>
    <xf numFmtId="0" fontId="1" fillId="3" borderId="59"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6" fillId="0" borderId="39" xfId="0" applyFont="1" applyBorder="1" applyAlignment="1">
      <alignment horizontal="center" vertical="center"/>
    </xf>
  </cellXfs>
  <cellStyles count="1">
    <cellStyle name="Normal" xfId="0" builtinId="0"/>
  </cellStyles>
  <dxfs count="38">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showGridLines="0" topLeftCell="A31" workbookViewId="0">
      <selection activeCell="C4" sqref="C4:I9"/>
    </sheetView>
  </sheetViews>
  <sheetFormatPr defaultColWidth="14.36328125" defaultRowHeight="15" customHeight="1"/>
  <cols>
    <col min="1" max="1" width="4.26953125" customWidth="1"/>
    <col min="2" max="2" width="13" customWidth="1"/>
    <col min="3" max="3" width="8.7265625" customWidth="1"/>
    <col min="4" max="4" width="3" customWidth="1"/>
    <col min="5" max="5" width="22.453125" customWidth="1"/>
    <col min="6" max="6" width="14.08984375" customWidth="1"/>
    <col min="7" max="7" width="13.453125" customWidth="1"/>
    <col min="8" max="8" width="14.6328125" customWidth="1"/>
    <col min="9" max="9" width="14" customWidth="1"/>
    <col min="10" max="10" width="6.26953125" customWidth="1"/>
    <col min="11" max="11" width="11.54296875" hidden="1" customWidth="1"/>
  </cols>
  <sheetData>
    <row r="1" spans="1:11" ht="12.75" customHeight="1">
      <c r="A1" s="1"/>
      <c r="B1" s="1"/>
      <c r="C1" s="1"/>
      <c r="D1" s="1"/>
      <c r="E1" s="1"/>
      <c r="F1" s="1"/>
      <c r="G1" s="1"/>
      <c r="H1" s="1"/>
      <c r="I1" s="1"/>
      <c r="J1" s="1"/>
      <c r="K1" s="1"/>
    </row>
    <row r="2" spans="1:11" ht="15" customHeight="1">
      <c r="A2" s="92" t="s">
        <v>0</v>
      </c>
      <c r="B2" s="93"/>
      <c r="C2" s="93"/>
      <c r="D2" s="93"/>
      <c r="E2" s="93"/>
      <c r="F2" s="93"/>
      <c r="G2" s="93"/>
      <c r="H2" s="93"/>
      <c r="I2" s="94"/>
      <c r="J2" s="1"/>
      <c r="K2" s="1"/>
    </row>
    <row r="3" spans="1:11" ht="15" customHeight="1">
      <c r="A3" s="2"/>
      <c r="B3" s="2"/>
      <c r="C3" s="2"/>
      <c r="D3" s="2"/>
      <c r="E3" s="2"/>
      <c r="F3" s="2"/>
      <c r="G3" s="2"/>
      <c r="H3" s="2"/>
      <c r="I3" s="2"/>
      <c r="J3" s="1"/>
      <c r="K3" s="1"/>
    </row>
    <row r="4" spans="1:11" ht="20" customHeight="1">
      <c r="A4" s="95" t="s">
        <v>1</v>
      </c>
      <c r="B4" s="77"/>
      <c r="C4" s="96"/>
      <c r="D4" s="97"/>
      <c r="E4" s="97"/>
      <c r="F4" s="97"/>
      <c r="G4" s="97"/>
      <c r="H4" s="97"/>
      <c r="I4" s="97"/>
      <c r="J4" s="1"/>
      <c r="K4" s="1"/>
    </row>
    <row r="5" spans="1:11" ht="20" customHeight="1">
      <c r="A5" s="3"/>
      <c r="B5" s="3" t="s">
        <v>2</v>
      </c>
      <c r="C5" s="98"/>
      <c r="D5" s="51"/>
      <c r="E5" s="51"/>
      <c r="F5" s="4"/>
      <c r="G5" s="4"/>
      <c r="H5" s="4"/>
      <c r="I5" s="4"/>
      <c r="J5" s="1"/>
      <c r="K5" s="1"/>
    </row>
    <row r="6" spans="1:11" ht="20" customHeight="1">
      <c r="A6" s="3"/>
      <c r="B6" s="3" t="s">
        <v>3</v>
      </c>
      <c r="C6" s="55"/>
      <c r="D6" s="51"/>
      <c r="E6" s="51"/>
      <c r="F6" s="4"/>
      <c r="G6" s="4"/>
      <c r="H6" s="4"/>
      <c r="I6" s="4"/>
      <c r="J6" s="1"/>
      <c r="K6" s="1"/>
    </row>
    <row r="7" spans="1:11" ht="20" customHeight="1">
      <c r="A7" s="3"/>
      <c r="B7" s="3" t="s">
        <v>4</v>
      </c>
      <c r="C7" s="99"/>
      <c r="D7" s="97"/>
      <c r="E7" s="5"/>
      <c r="F7" s="4"/>
      <c r="G7" s="4"/>
      <c r="H7" s="4"/>
      <c r="I7" s="4"/>
      <c r="J7" s="1"/>
      <c r="K7" s="1"/>
    </row>
    <row r="8" spans="1:11" ht="20" customHeight="1">
      <c r="A8" s="3"/>
      <c r="B8" s="3" t="s">
        <v>5</v>
      </c>
      <c r="C8" s="96"/>
      <c r="D8" s="97"/>
      <c r="E8" s="97"/>
      <c r="F8" s="97"/>
      <c r="G8" s="4"/>
      <c r="H8" s="4"/>
      <c r="I8" s="4"/>
      <c r="J8" s="1"/>
      <c r="K8" s="1"/>
    </row>
    <row r="9" spans="1:11" ht="20" customHeight="1">
      <c r="A9" s="3"/>
      <c r="B9" s="3" t="s">
        <v>6</v>
      </c>
      <c r="C9" s="55"/>
      <c r="D9" s="51"/>
      <c r="E9" s="51"/>
      <c r="F9" s="4"/>
      <c r="G9" s="4"/>
      <c r="H9" s="4"/>
      <c r="I9" s="4"/>
      <c r="J9" s="1"/>
      <c r="K9" s="1"/>
    </row>
    <row r="10" spans="1:11" ht="15" customHeight="1">
      <c r="A10" s="2"/>
      <c r="B10" s="2"/>
      <c r="C10" s="2"/>
      <c r="D10" s="2"/>
      <c r="E10" s="2"/>
      <c r="F10" s="2"/>
      <c r="G10" s="2"/>
      <c r="H10" s="2"/>
      <c r="I10" s="2"/>
      <c r="J10" s="1"/>
      <c r="K10" s="1"/>
    </row>
    <row r="11" spans="1:11" ht="15" customHeight="1">
      <c r="A11" s="2"/>
      <c r="B11" s="6" t="s">
        <v>7</v>
      </c>
      <c r="C11" s="1" t="s">
        <v>8</v>
      </c>
      <c r="D11" s="1"/>
      <c r="E11" s="1"/>
      <c r="F11" s="1"/>
      <c r="G11" s="1"/>
      <c r="H11" s="2"/>
      <c r="I11" s="2"/>
      <c r="J11" s="1"/>
      <c r="K11" s="1"/>
    </row>
    <row r="12" spans="1:11" ht="15" customHeight="1">
      <c r="A12" s="2"/>
      <c r="B12" s="2"/>
      <c r="C12" s="2"/>
      <c r="D12" s="2"/>
      <c r="E12" s="2"/>
      <c r="F12" s="2"/>
      <c r="G12" s="2"/>
      <c r="H12" s="2"/>
      <c r="I12" s="2"/>
      <c r="J12" s="1"/>
      <c r="K12" s="1"/>
    </row>
    <row r="13" spans="1:11" ht="12.75" customHeight="1">
      <c r="A13" s="56" t="s">
        <v>9</v>
      </c>
      <c r="B13" s="57"/>
      <c r="C13" s="57"/>
      <c r="D13" s="57"/>
      <c r="E13" s="57"/>
      <c r="F13" s="57"/>
      <c r="G13" s="57"/>
      <c r="H13" s="57"/>
      <c r="I13" s="58"/>
      <c r="J13" s="1"/>
      <c r="K13" s="1"/>
    </row>
    <row r="14" spans="1:11" ht="27.75" customHeight="1">
      <c r="A14" s="59" t="s">
        <v>10</v>
      </c>
      <c r="B14" s="51"/>
      <c r="C14" s="51"/>
      <c r="D14" s="51"/>
      <c r="E14" s="51"/>
      <c r="F14" s="51"/>
      <c r="G14" s="51"/>
      <c r="H14" s="51"/>
      <c r="I14" s="52"/>
      <c r="J14" s="1"/>
      <c r="K14" s="1"/>
    </row>
    <row r="15" spans="1:11" ht="15.75" customHeight="1">
      <c r="A15" s="60" t="s">
        <v>11</v>
      </c>
      <c r="B15" s="51"/>
      <c r="C15" s="51"/>
      <c r="D15" s="51"/>
      <c r="E15" s="51"/>
      <c r="F15" s="51"/>
      <c r="G15" s="51"/>
      <c r="H15" s="51"/>
      <c r="I15" s="52"/>
      <c r="J15" s="1"/>
      <c r="K15" s="1"/>
    </row>
    <row r="16" spans="1:11" ht="15.75" customHeight="1">
      <c r="A16" s="61" t="s">
        <v>12</v>
      </c>
      <c r="B16" s="62"/>
      <c r="C16" s="63"/>
      <c r="D16" s="51"/>
      <c r="E16" s="51"/>
      <c r="F16" s="51"/>
      <c r="G16" s="51"/>
      <c r="H16" s="51"/>
      <c r="I16" s="52"/>
      <c r="J16" s="1"/>
      <c r="K16" s="1"/>
    </row>
    <row r="17" spans="1:11" ht="12.75" customHeight="1">
      <c r="A17" s="53" t="s">
        <v>13</v>
      </c>
      <c r="B17" s="51"/>
      <c r="C17" s="51"/>
      <c r="D17" s="51"/>
      <c r="E17" s="51"/>
      <c r="F17" s="51"/>
      <c r="G17" s="51"/>
      <c r="H17" s="51"/>
      <c r="I17" s="52"/>
      <c r="J17" s="1"/>
      <c r="K17" s="1"/>
    </row>
    <row r="18" spans="1:11" ht="36.5" customHeight="1">
      <c r="A18" s="50" t="s">
        <v>14</v>
      </c>
      <c r="B18" s="51"/>
      <c r="C18" s="51"/>
      <c r="D18" s="51"/>
      <c r="E18" s="51"/>
      <c r="F18" s="51"/>
      <c r="G18" s="51"/>
      <c r="H18" s="51"/>
      <c r="I18" s="52"/>
      <c r="J18" s="1"/>
      <c r="K18" s="1"/>
    </row>
    <row r="19" spans="1:11" ht="12.75" customHeight="1">
      <c r="A19" s="53" t="s">
        <v>15</v>
      </c>
      <c r="B19" s="51"/>
      <c r="C19" s="51"/>
      <c r="D19" s="51"/>
      <c r="E19" s="51"/>
      <c r="F19" s="51"/>
      <c r="G19" s="51"/>
      <c r="H19" s="51"/>
      <c r="I19" s="52"/>
      <c r="J19" s="1"/>
      <c r="K19" s="1"/>
    </row>
    <row r="20" spans="1:11" ht="30.5" customHeight="1">
      <c r="A20" s="54" t="s">
        <v>16</v>
      </c>
      <c r="B20" s="51"/>
      <c r="C20" s="51"/>
      <c r="D20" s="51"/>
      <c r="E20" s="51"/>
      <c r="F20" s="51"/>
      <c r="G20" s="51"/>
      <c r="H20" s="51"/>
      <c r="I20" s="52"/>
      <c r="J20" s="1"/>
      <c r="K20" s="1"/>
    </row>
    <row r="21" spans="1:11" ht="12.75" customHeight="1">
      <c r="A21" s="53" t="s">
        <v>17</v>
      </c>
      <c r="B21" s="51"/>
      <c r="C21" s="51"/>
      <c r="D21" s="51"/>
      <c r="E21" s="51"/>
      <c r="F21" s="51"/>
      <c r="G21" s="51"/>
      <c r="H21" s="51"/>
      <c r="I21" s="52"/>
      <c r="J21" s="1"/>
      <c r="K21" s="1"/>
    </row>
    <row r="22" spans="1:11" ht="39.5" customHeight="1">
      <c r="A22" s="50" t="s">
        <v>18</v>
      </c>
      <c r="B22" s="51"/>
      <c r="C22" s="51"/>
      <c r="D22" s="51"/>
      <c r="E22" s="51"/>
      <c r="F22" s="51"/>
      <c r="G22" s="51"/>
      <c r="H22" s="51"/>
      <c r="I22" s="52"/>
      <c r="J22" s="1"/>
      <c r="K22" s="7"/>
    </row>
    <row r="23" spans="1:11" ht="12.75" customHeight="1">
      <c r="A23" s="105" t="s">
        <v>19</v>
      </c>
      <c r="B23" s="51"/>
      <c r="C23" s="62"/>
      <c r="D23" s="106" t="s">
        <v>20</v>
      </c>
      <c r="E23" s="51"/>
      <c r="F23" s="51"/>
      <c r="G23" s="51"/>
      <c r="H23" s="51"/>
      <c r="I23" s="52"/>
      <c r="J23" s="8"/>
      <c r="K23" s="1"/>
    </row>
    <row r="24" spans="1:11" ht="29.25" customHeight="1">
      <c r="A24" s="107" t="s">
        <v>21</v>
      </c>
      <c r="B24" s="51"/>
      <c r="C24" s="62"/>
      <c r="D24" s="108">
        <v>4</v>
      </c>
      <c r="E24" s="109"/>
      <c r="F24" s="9">
        <v>3</v>
      </c>
      <c r="G24" s="9">
        <v>2</v>
      </c>
      <c r="H24" s="9">
        <v>1</v>
      </c>
      <c r="I24" s="10">
        <v>0</v>
      </c>
      <c r="J24" s="8"/>
      <c r="K24" s="1"/>
    </row>
    <row r="25" spans="1:11" ht="27.75" customHeight="1">
      <c r="A25" s="110" t="s">
        <v>22</v>
      </c>
      <c r="B25" s="78" t="s">
        <v>23</v>
      </c>
      <c r="C25" s="79"/>
      <c r="D25" s="11" t="s">
        <v>24</v>
      </c>
      <c r="E25" s="12" t="s">
        <v>25</v>
      </c>
      <c r="F25" s="111" t="s">
        <v>26</v>
      </c>
      <c r="G25" s="103" t="s">
        <v>27</v>
      </c>
      <c r="H25" s="103" t="s">
        <v>28</v>
      </c>
      <c r="I25" s="104" t="s">
        <v>29</v>
      </c>
      <c r="J25" s="13" t="str">
        <f t="shared" ref="J25:J27" si="0">IF(SUM(F25:I25)&gt;1,"X","")</f>
        <v/>
      </c>
      <c r="K25" s="1"/>
    </row>
    <row r="26" spans="1:11" ht="12.75" customHeight="1">
      <c r="A26" s="90"/>
      <c r="B26" s="80"/>
      <c r="C26" s="77"/>
      <c r="D26" s="14" t="s">
        <v>30</v>
      </c>
      <c r="E26" s="15" t="s">
        <v>31</v>
      </c>
      <c r="F26" s="101"/>
      <c r="G26" s="65"/>
      <c r="H26" s="65"/>
      <c r="I26" s="68"/>
      <c r="J26" s="13" t="str">
        <f t="shared" si="0"/>
        <v/>
      </c>
      <c r="K26" s="1"/>
    </row>
    <row r="27" spans="1:11" ht="46" customHeight="1">
      <c r="A27" s="91"/>
      <c r="B27" s="81"/>
      <c r="C27" s="82"/>
      <c r="D27" s="16" t="s">
        <v>32</v>
      </c>
      <c r="E27" s="17" t="s">
        <v>33</v>
      </c>
      <c r="F27" s="102"/>
      <c r="G27" s="66"/>
      <c r="H27" s="66"/>
      <c r="I27" s="69"/>
      <c r="J27" s="13" t="str">
        <f t="shared" si="0"/>
        <v/>
      </c>
      <c r="K27" s="1"/>
    </row>
    <row r="28" spans="1:11" ht="13.5" customHeight="1">
      <c r="A28" s="84" t="s">
        <v>34</v>
      </c>
      <c r="B28" s="74"/>
      <c r="C28" s="75"/>
      <c r="D28" s="85"/>
      <c r="E28" s="75"/>
      <c r="F28" s="18"/>
      <c r="G28" s="18"/>
      <c r="H28" s="18"/>
      <c r="I28" s="19"/>
      <c r="J28" s="13">
        <f>IF((D28+F28+G28+H28+I28)&gt;1,"X",IF((D28+F28+G28+H28+I28)=0,0,""))</f>
        <v>0</v>
      </c>
      <c r="K28" s="1"/>
    </row>
    <row r="29" spans="1:11" ht="28.5" customHeight="1">
      <c r="A29" s="89" t="s">
        <v>35</v>
      </c>
      <c r="B29" s="83" t="s">
        <v>36</v>
      </c>
      <c r="C29" s="77"/>
      <c r="D29" s="14" t="s">
        <v>24</v>
      </c>
      <c r="E29" s="15" t="s">
        <v>25</v>
      </c>
      <c r="F29" s="100" t="s">
        <v>26</v>
      </c>
      <c r="G29" s="64" t="s">
        <v>27</v>
      </c>
      <c r="H29" s="64" t="s">
        <v>28</v>
      </c>
      <c r="I29" s="67" t="s">
        <v>29</v>
      </c>
      <c r="J29" s="13" t="str">
        <f t="shared" ref="J29:J31" si="1">IF(SUM(F29:I29)&gt;1,"X","")</f>
        <v/>
      </c>
      <c r="K29" s="1"/>
    </row>
    <row r="30" spans="1:11" ht="12.75" customHeight="1">
      <c r="A30" s="90"/>
      <c r="B30" s="80"/>
      <c r="C30" s="77"/>
      <c r="D30" s="14" t="s">
        <v>30</v>
      </c>
      <c r="E30" s="15" t="s">
        <v>31</v>
      </c>
      <c r="F30" s="101"/>
      <c r="G30" s="65"/>
      <c r="H30" s="65"/>
      <c r="I30" s="68"/>
      <c r="J30" s="13" t="str">
        <f t="shared" si="1"/>
        <v/>
      </c>
      <c r="K30" s="1"/>
    </row>
    <row r="31" spans="1:11" ht="40" customHeight="1">
      <c r="A31" s="91"/>
      <c r="B31" s="81"/>
      <c r="C31" s="82"/>
      <c r="D31" s="16" t="s">
        <v>32</v>
      </c>
      <c r="E31" s="17" t="s">
        <v>33</v>
      </c>
      <c r="F31" s="102"/>
      <c r="G31" s="66"/>
      <c r="H31" s="66"/>
      <c r="I31" s="69"/>
      <c r="J31" s="13" t="str">
        <f t="shared" si="1"/>
        <v/>
      </c>
      <c r="K31" s="1"/>
    </row>
    <row r="32" spans="1:11" ht="13.5" customHeight="1">
      <c r="A32" s="84" t="s">
        <v>34</v>
      </c>
      <c r="B32" s="74"/>
      <c r="C32" s="75"/>
      <c r="D32" s="85"/>
      <c r="E32" s="75"/>
      <c r="F32" s="18"/>
      <c r="G32" s="18"/>
      <c r="H32" s="18"/>
      <c r="I32" s="19"/>
      <c r="J32" s="13">
        <f>IF((D32+F32+G32+H32+I32)&gt;1,"X",IF((D32+F32+G32+H32+I32)=0,0,""))</f>
        <v>0</v>
      </c>
      <c r="K32" s="1"/>
    </row>
    <row r="33" spans="1:11" ht="28.5" customHeight="1">
      <c r="A33" s="89" t="s">
        <v>37</v>
      </c>
      <c r="B33" s="83" t="s">
        <v>38</v>
      </c>
      <c r="C33" s="77"/>
      <c r="D33" s="14" t="s">
        <v>24</v>
      </c>
      <c r="E33" s="15" t="s">
        <v>25</v>
      </c>
      <c r="F33" s="100" t="s">
        <v>26</v>
      </c>
      <c r="G33" s="64" t="s">
        <v>27</v>
      </c>
      <c r="H33" s="64" t="s">
        <v>28</v>
      </c>
      <c r="I33" s="67" t="s">
        <v>29</v>
      </c>
      <c r="J33" s="13" t="str">
        <f t="shared" ref="J33:J35" si="2">IF(SUM(F33:I33)&gt;1,"X","")</f>
        <v/>
      </c>
      <c r="K33" s="1"/>
    </row>
    <row r="34" spans="1:11" ht="12.75" customHeight="1">
      <c r="A34" s="90"/>
      <c r="B34" s="80"/>
      <c r="C34" s="77"/>
      <c r="D34" s="14" t="s">
        <v>30</v>
      </c>
      <c r="E34" s="15" t="s">
        <v>31</v>
      </c>
      <c r="F34" s="101"/>
      <c r="G34" s="65"/>
      <c r="H34" s="65"/>
      <c r="I34" s="68"/>
      <c r="J34" s="13" t="str">
        <f t="shared" si="2"/>
        <v/>
      </c>
      <c r="K34" s="1"/>
    </row>
    <row r="35" spans="1:11" ht="46.5" customHeight="1">
      <c r="A35" s="91"/>
      <c r="B35" s="81"/>
      <c r="C35" s="82"/>
      <c r="D35" s="16" t="s">
        <v>32</v>
      </c>
      <c r="E35" s="17" t="s">
        <v>33</v>
      </c>
      <c r="F35" s="102"/>
      <c r="G35" s="66"/>
      <c r="H35" s="66"/>
      <c r="I35" s="69"/>
      <c r="J35" s="13" t="str">
        <f t="shared" si="2"/>
        <v/>
      </c>
      <c r="K35" s="1"/>
    </row>
    <row r="36" spans="1:11" ht="13.5" customHeight="1">
      <c r="A36" s="84" t="s">
        <v>34</v>
      </c>
      <c r="B36" s="74"/>
      <c r="C36" s="75"/>
      <c r="D36" s="85"/>
      <c r="E36" s="75"/>
      <c r="F36" s="18"/>
      <c r="G36" s="18"/>
      <c r="H36" s="18"/>
      <c r="I36" s="19"/>
      <c r="J36" s="13">
        <f>IF((D36+F36+G36+H36+I36)&gt;1,"X",IF((D36+F36+G36+H36+I36)=0,0,""))</f>
        <v>0</v>
      </c>
      <c r="K36" s="1"/>
    </row>
    <row r="37" spans="1:11" ht="16.5" customHeight="1">
      <c r="A37" s="73" t="s">
        <v>39</v>
      </c>
      <c r="B37" s="74"/>
      <c r="C37" s="75"/>
      <c r="D37" s="88">
        <f>IF(SUM(D28+D32+D36)="","",(SUM(D28+D32+D36)))</f>
        <v>0</v>
      </c>
      <c r="E37" s="75"/>
      <c r="F37" s="20">
        <f t="shared" ref="F37:I37" si="3">IF(SUM(F28+F32+F36)="","",(SUM(F28+F32+F36)))</f>
        <v>0</v>
      </c>
      <c r="G37" s="20">
        <f t="shared" si="3"/>
        <v>0</v>
      </c>
      <c r="H37" s="20">
        <f t="shared" si="3"/>
        <v>0</v>
      </c>
      <c r="I37" s="21">
        <f t="shared" si="3"/>
        <v>0</v>
      </c>
      <c r="J37" s="1"/>
      <c r="K37" s="1"/>
    </row>
    <row r="38" spans="1:11" ht="16.5" customHeight="1">
      <c r="A38" s="73" t="s">
        <v>40</v>
      </c>
      <c r="B38" s="74"/>
      <c r="C38" s="75"/>
      <c r="D38" s="88">
        <f>IF((D37)="","",(D37)*D24)</f>
        <v>0</v>
      </c>
      <c r="E38" s="75"/>
      <c r="F38" s="20">
        <f t="shared" ref="F38:I38" si="4">IF((F37)="","",(F37)*F24)</f>
        <v>0</v>
      </c>
      <c r="G38" s="20">
        <f t="shared" si="4"/>
        <v>0</v>
      </c>
      <c r="H38" s="20">
        <f t="shared" si="4"/>
        <v>0</v>
      </c>
      <c r="I38" s="21">
        <f t="shared" si="4"/>
        <v>0</v>
      </c>
      <c r="J38" s="1"/>
      <c r="K38" s="1"/>
    </row>
    <row r="39" spans="1:11" ht="16.5" customHeight="1">
      <c r="A39" s="86" t="s">
        <v>41</v>
      </c>
      <c r="B39" s="71"/>
      <c r="C39" s="87"/>
      <c r="D39" s="70">
        <f>IF(J39="X","X",SUM(D38:I38))</f>
        <v>0</v>
      </c>
      <c r="E39" s="71"/>
      <c r="F39" s="71"/>
      <c r="G39" s="71"/>
      <c r="H39" s="71"/>
      <c r="I39" s="72"/>
      <c r="J39" s="22">
        <f>IF(OR(J36="X",J32="X",J28="X"),"X",1)</f>
        <v>1</v>
      </c>
      <c r="K39" s="1"/>
    </row>
    <row r="40" spans="1:11" ht="12.75" customHeight="1">
      <c r="A40" s="1"/>
      <c r="B40" s="1"/>
      <c r="C40" s="1"/>
      <c r="D40" s="1"/>
      <c r="E40" s="1"/>
      <c r="F40" s="1"/>
      <c r="G40" s="1"/>
      <c r="H40" s="1"/>
      <c r="I40" s="1"/>
      <c r="J40" s="1"/>
      <c r="K40" s="1"/>
    </row>
    <row r="41" spans="1:11" ht="12.75" customHeight="1">
      <c r="A41" s="1"/>
      <c r="B41" s="1"/>
      <c r="C41" s="1"/>
      <c r="D41" s="1"/>
      <c r="E41" s="1"/>
      <c r="F41" s="1"/>
      <c r="G41" s="1"/>
      <c r="H41" s="1"/>
      <c r="I41" s="1"/>
      <c r="J41" s="1"/>
      <c r="K41" s="1"/>
    </row>
    <row r="42" spans="1:11" ht="12.75" customHeight="1">
      <c r="A42" s="1"/>
      <c r="B42" s="1"/>
      <c r="C42" s="1"/>
      <c r="D42" s="1"/>
      <c r="E42" s="1"/>
      <c r="F42" s="1"/>
      <c r="G42" s="1"/>
      <c r="H42" s="1"/>
      <c r="I42" s="1"/>
      <c r="J42" s="1"/>
      <c r="K42" s="1"/>
    </row>
    <row r="43" spans="1:11" ht="12.75" customHeight="1">
      <c r="A43" s="1"/>
      <c r="B43" s="1"/>
      <c r="C43" s="1"/>
      <c r="D43" s="1"/>
      <c r="E43" s="1"/>
      <c r="F43" s="1"/>
      <c r="G43" s="1"/>
      <c r="H43" s="1"/>
      <c r="I43" s="1"/>
      <c r="J43" s="1"/>
      <c r="K43" s="1"/>
    </row>
    <row r="44" spans="1:11" ht="12.75" customHeight="1">
      <c r="A44" s="1"/>
      <c r="B44" s="1"/>
      <c r="C44" s="1"/>
      <c r="D44" s="1"/>
      <c r="E44" s="1"/>
      <c r="F44" s="1"/>
      <c r="G44" s="1"/>
      <c r="H44" s="1"/>
      <c r="I44" s="1"/>
      <c r="J44" s="1"/>
      <c r="K44" s="1"/>
    </row>
    <row r="45" spans="1:11" ht="12.75" customHeight="1">
      <c r="A45" s="1"/>
      <c r="B45" s="1"/>
      <c r="C45" s="1"/>
      <c r="D45" s="1"/>
      <c r="E45" s="1"/>
      <c r="F45" s="1"/>
      <c r="G45" s="1"/>
      <c r="H45" s="1"/>
      <c r="I45" s="1"/>
      <c r="J45" s="1"/>
      <c r="K45" s="1"/>
    </row>
    <row r="46" spans="1:11" ht="12.75" customHeight="1">
      <c r="A46" s="1"/>
      <c r="B46" s="1"/>
      <c r="C46" s="1"/>
      <c r="D46" s="1"/>
      <c r="E46" s="1"/>
      <c r="F46" s="1"/>
      <c r="G46" s="1"/>
      <c r="H46" s="1"/>
      <c r="I46" s="1"/>
      <c r="J46" s="1"/>
      <c r="K46" s="1"/>
    </row>
    <row r="47" spans="1:11" ht="12.75" customHeight="1">
      <c r="A47" s="1"/>
      <c r="B47" s="1"/>
      <c r="C47" s="1"/>
      <c r="D47" s="1"/>
      <c r="E47" s="1"/>
      <c r="F47" s="1"/>
      <c r="G47" s="1"/>
      <c r="H47" s="1"/>
      <c r="I47" s="1"/>
      <c r="J47" s="1"/>
      <c r="K47" s="1"/>
    </row>
    <row r="48" spans="1:11" ht="12.75" customHeight="1">
      <c r="A48" s="1"/>
      <c r="B48" s="1"/>
      <c r="C48" s="1"/>
      <c r="D48" s="1"/>
      <c r="E48" s="1"/>
      <c r="F48" s="1"/>
      <c r="G48" s="1"/>
      <c r="H48" s="1"/>
      <c r="I48" s="1"/>
      <c r="J48" s="1"/>
      <c r="K48" s="1"/>
    </row>
    <row r="49" spans="1:11" ht="12.75" customHeight="1">
      <c r="A49" s="1"/>
      <c r="B49" s="1"/>
      <c r="C49" s="1"/>
      <c r="D49" s="1"/>
      <c r="E49" s="1"/>
      <c r="F49" s="1"/>
      <c r="G49" s="1"/>
      <c r="H49" s="1"/>
      <c r="I49" s="1"/>
      <c r="J49" s="1"/>
      <c r="K49" s="1"/>
    </row>
    <row r="50" spans="1:11" ht="12.75" customHeight="1">
      <c r="A50" s="1"/>
      <c r="B50" s="1"/>
      <c r="C50" s="1"/>
      <c r="D50" s="1"/>
      <c r="E50" s="1"/>
      <c r="F50" s="1"/>
      <c r="G50" s="1"/>
      <c r="H50" s="1"/>
      <c r="I50" s="1"/>
      <c r="J50" s="1"/>
      <c r="K50" s="1"/>
    </row>
    <row r="51" spans="1:11" ht="12.75" customHeight="1">
      <c r="A51" s="1"/>
      <c r="B51" s="1"/>
      <c r="C51" s="1"/>
      <c r="D51" s="1"/>
      <c r="E51" s="1"/>
      <c r="F51" s="1"/>
      <c r="G51" s="1"/>
      <c r="H51" s="1"/>
      <c r="I51" s="1"/>
      <c r="J51" s="1"/>
      <c r="K51" s="1"/>
    </row>
    <row r="52" spans="1:11" ht="12.75" customHeight="1">
      <c r="A52" s="1"/>
      <c r="B52" s="1"/>
      <c r="C52" s="1"/>
      <c r="D52" s="1"/>
      <c r="E52" s="1"/>
      <c r="F52" s="1"/>
      <c r="G52" s="1"/>
      <c r="H52" s="1"/>
      <c r="I52" s="1"/>
      <c r="J52" s="1"/>
      <c r="K52" s="1"/>
    </row>
    <row r="53" spans="1:11" ht="12.75" customHeight="1">
      <c r="A53" s="1"/>
      <c r="B53" s="1"/>
      <c r="C53" s="1"/>
      <c r="D53" s="1"/>
      <c r="E53" s="1"/>
      <c r="F53" s="1"/>
      <c r="G53" s="1"/>
      <c r="H53" s="1"/>
      <c r="I53" s="1"/>
      <c r="J53" s="1"/>
      <c r="K53" s="1"/>
    </row>
    <row r="54" spans="1:11" ht="12.75" customHeight="1">
      <c r="A54" s="1"/>
      <c r="B54" s="1"/>
      <c r="C54" s="1"/>
      <c r="D54" s="1"/>
      <c r="E54" s="1"/>
      <c r="F54" s="1"/>
      <c r="G54" s="1"/>
      <c r="H54" s="1"/>
      <c r="I54" s="1"/>
      <c r="J54" s="1"/>
      <c r="K54" s="1"/>
    </row>
    <row r="55" spans="1:11" ht="12.75" customHeight="1">
      <c r="A55" s="1"/>
      <c r="B55" s="1"/>
      <c r="C55" s="1"/>
      <c r="D55" s="1"/>
      <c r="E55" s="1"/>
      <c r="F55" s="1"/>
      <c r="G55" s="1"/>
      <c r="H55" s="1"/>
      <c r="I55" s="1"/>
      <c r="J55" s="1"/>
      <c r="K55" s="1"/>
    </row>
    <row r="56" spans="1:11" ht="12.75" customHeight="1">
      <c r="A56" s="1"/>
      <c r="B56" s="1"/>
      <c r="C56" s="1"/>
      <c r="D56" s="1"/>
      <c r="E56" s="1"/>
      <c r="F56" s="1"/>
      <c r="G56" s="1"/>
      <c r="H56" s="1"/>
      <c r="I56" s="1"/>
      <c r="J56" s="1"/>
      <c r="K56" s="1"/>
    </row>
    <row r="57" spans="1:11" ht="12.75" customHeight="1">
      <c r="A57" s="1"/>
      <c r="B57" s="1"/>
      <c r="C57" s="1"/>
      <c r="D57" s="1"/>
      <c r="E57" s="1"/>
      <c r="F57" s="1"/>
      <c r="G57" s="1"/>
      <c r="H57" s="1"/>
      <c r="I57" s="1"/>
      <c r="J57" s="1"/>
      <c r="K57" s="1"/>
    </row>
    <row r="58" spans="1:11" ht="12.75" customHeight="1">
      <c r="A58" s="1"/>
      <c r="B58" s="1"/>
      <c r="C58" s="1"/>
      <c r="D58" s="1"/>
      <c r="E58" s="1"/>
      <c r="F58" s="1"/>
      <c r="G58" s="1"/>
      <c r="H58" s="1"/>
      <c r="I58" s="1"/>
      <c r="J58" s="1"/>
      <c r="K58" s="1"/>
    </row>
    <row r="59" spans="1:11" ht="12.75" customHeight="1">
      <c r="A59" s="1"/>
      <c r="B59" s="1"/>
      <c r="C59" s="1"/>
      <c r="D59" s="1"/>
      <c r="E59" s="1"/>
      <c r="F59" s="1"/>
      <c r="G59" s="1"/>
      <c r="H59" s="1"/>
      <c r="I59" s="1"/>
      <c r="J59" s="1"/>
      <c r="K59" s="1"/>
    </row>
    <row r="60" spans="1:11" ht="12.75" customHeight="1">
      <c r="A60" s="1"/>
      <c r="B60" s="1"/>
      <c r="C60" s="1"/>
      <c r="D60" s="1"/>
      <c r="E60" s="1"/>
      <c r="F60" s="1"/>
      <c r="G60" s="1"/>
      <c r="H60" s="1"/>
      <c r="I60" s="1"/>
      <c r="J60" s="1"/>
      <c r="K60" s="1"/>
    </row>
    <row r="61" spans="1:11" ht="12.75" customHeight="1">
      <c r="A61" s="1"/>
      <c r="B61" s="1"/>
      <c r="C61" s="1"/>
      <c r="D61" s="1"/>
      <c r="E61" s="1"/>
      <c r="F61" s="1"/>
      <c r="G61" s="1"/>
      <c r="H61" s="1"/>
      <c r="I61" s="1"/>
      <c r="J61" s="1"/>
      <c r="K61" s="1"/>
    </row>
    <row r="62" spans="1:11" ht="12.75" customHeight="1">
      <c r="A62" s="1"/>
      <c r="B62" s="1"/>
      <c r="C62" s="1"/>
      <c r="D62" s="1"/>
      <c r="E62" s="1"/>
      <c r="F62" s="1"/>
      <c r="G62" s="1"/>
      <c r="H62" s="1"/>
      <c r="I62" s="1"/>
      <c r="J62" s="1"/>
      <c r="K62" s="1"/>
    </row>
    <row r="63" spans="1:11" ht="12.75" customHeight="1">
      <c r="A63" s="1"/>
      <c r="B63" s="1"/>
      <c r="C63" s="1"/>
      <c r="D63" s="1"/>
      <c r="E63" s="1"/>
      <c r="F63" s="1"/>
      <c r="G63" s="1"/>
      <c r="H63" s="1"/>
      <c r="I63" s="1"/>
      <c r="J63" s="1"/>
      <c r="K63" s="1"/>
    </row>
    <row r="64" spans="1:11" ht="12.75" customHeight="1">
      <c r="A64" s="1"/>
      <c r="B64" s="1"/>
      <c r="C64" s="1"/>
      <c r="D64" s="1"/>
      <c r="E64" s="1"/>
      <c r="F64" s="1"/>
      <c r="G64" s="1"/>
      <c r="H64" s="1"/>
      <c r="I64" s="1"/>
      <c r="J64" s="1"/>
      <c r="K64" s="1"/>
    </row>
    <row r="65" spans="1:11" ht="12.75" hidden="1" customHeight="1">
      <c r="A65" s="1"/>
      <c r="B65" s="1"/>
      <c r="C65" s="1"/>
      <c r="D65" s="1"/>
      <c r="E65" s="1"/>
      <c r="F65" s="1"/>
      <c r="G65" s="1"/>
      <c r="H65" s="1"/>
      <c r="I65" s="1"/>
      <c r="J65" s="1"/>
      <c r="K65" s="1"/>
    </row>
    <row r="66" spans="1:11" ht="12.75" hidden="1" customHeight="1">
      <c r="A66" s="1"/>
      <c r="B66" s="1"/>
      <c r="C66" s="1"/>
      <c r="D66" s="1"/>
      <c r="E66" s="1"/>
      <c r="F66" s="1"/>
      <c r="G66" s="1"/>
      <c r="H66" s="1"/>
      <c r="I66" s="1"/>
      <c r="J66" s="1"/>
      <c r="K66" s="1"/>
    </row>
    <row r="67" spans="1:11" ht="12.75" hidden="1" customHeight="1">
      <c r="A67" s="1"/>
      <c r="B67" s="1"/>
      <c r="C67" s="1"/>
      <c r="D67" s="1"/>
      <c r="E67" s="1"/>
      <c r="F67" s="1"/>
      <c r="G67" s="1"/>
      <c r="H67" s="1"/>
      <c r="I67" s="1"/>
      <c r="J67" s="1"/>
      <c r="K67" s="1"/>
    </row>
    <row r="68" spans="1:11" ht="12.75" hidden="1" customHeight="1">
      <c r="A68" s="1"/>
      <c r="B68" s="1"/>
      <c r="C68" s="1"/>
      <c r="D68" s="1"/>
      <c r="E68" s="1"/>
      <c r="F68" s="1"/>
      <c r="G68" s="1"/>
      <c r="H68" s="1"/>
      <c r="I68" s="1"/>
      <c r="J68" s="1"/>
      <c r="K68" s="1"/>
    </row>
    <row r="69" spans="1:11" ht="12.75" hidden="1" customHeight="1">
      <c r="A69" s="1"/>
      <c r="B69" s="1"/>
      <c r="C69" s="1"/>
      <c r="D69" s="1"/>
      <c r="E69" s="1"/>
      <c r="F69" s="1"/>
      <c r="G69" s="1"/>
      <c r="H69" s="1"/>
      <c r="I69" s="1"/>
      <c r="J69" s="1"/>
      <c r="K69" s="1"/>
    </row>
    <row r="70" spans="1:11" ht="12.75" hidden="1" customHeight="1">
      <c r="A70" s="1"/>
      <c r="B70" s="1"/>
      <c r="C70" s="1"/>
      <c r="D70" s="1"/>
      <c r="E70" s="1"/>
      <c r="F70" s="1"/>
      <c r="G70" s="1"/>
      <c r="H70" s="1"/>
      <c r="I70" s="1"/>
      <c r="J70" s="1"/>
      <c r="K70" s="1"/>
    </row>
    <row r="71" spans="1:11" ht="12.75" hidden="1" customHeight="1">
      <c r="A71" s="1"/>
      <c r="B71" s="1"/>
      <c r="C71" s="1"/>
      <c r="D71" s="1"/>
      <c r="E71" s="23"/>
      <c r="F71" s="1"/>
      <c r="G71" s="1"/>
      <c r="H71" s="1"/>
      <c r="I71" s="1"/>
      <c r="J71" s="1"/>
      <c r="K71" s="1"/>
    </row>
    <row r="72" spans="1:11" ht="12.75" hidden="1" customHeight="1">
      <c r="A72" s="1"/>
      <c r="B72" s="1"/>
      <c r="C72" s="24"/>
      <c r="D72" s="1"/>
      <c r="E72" s="23"/>
      <c r="F72" s="1"/>
      <c r="G72" s="1"/>
      <c r="H72" s="1"/>
      <c r="I72" s="1"/>
      <c r="J72" s="1"/>
      <c r="K72" s="1"/>
    </row>
    <row r="73" spans="1:11" ht="12.75" hidden="1" customHeight="1">
      <c r="A73" s="1"/>
      <c r="B73" s="76"/>
      <c r="C73" s="77"/>
      <c r="D73" s="1"/>
      <c r="E73" s="23"/>
      <c r="F73" s="1"/>
      <c r="G73" s="1"/>
      <c r="H73" s="1"/>
      <c r="I73" s="1"/>
      <c r="J73" s="1"/>
      <c r="K73" s="1"/>
    </row>
    <row r="74" spans="1:11" ht="12.75" hidden="1" customHeight="1">
      <c r="A74" s="1"/>
      <c r="B74" s="77"/>
      <c r="C74" s="77"/>
      <c r="D74" s="1"/>
      <c r="E74" s="1"/>
      <c r="F74" s="1"/>
      <c r="G74" s="1"/>
      <c r="H74" s="1"/>
      <c r="I74" s="1"/>
      <c r="J74" s="1"/>
      <c r="K74" s="1"/>
    </row>
    <row r="75" spans="1:11" ht="12.75" hidden="1" customHeight="1">
      <c r="A75" s="1"/>
      <c r="B75" s="1"/>
      <c r="C75" s="1"/>
      <c r="D75" s="1"/>
      <c r="E75" s="1"/>
      <c r="F75" s="1"/>
      <c r="G75" s="1"/>
      <c r="H75" s="1"/>
      <c r="I75" s="1"/>
      <c r="J75" s="1"/>
      <c r="K75" s="1"/>
    </row>
    <row r="76" spans="1:11" ht="12.75" hidden="1" customHeight="1">
      <c r="A76" s="1"/>
      <c r="B76" s="1"/>
      <c r="C76" s="1"/>
      <c r="D76" s="1"/>
      <c r="E76" s="1"/>
      <c r="F76" s="1"/>
      <c r="G76" s="1"/>
      <c r="H76" s="1"/>
      <c r="I76" s="1"/>
      <c r="J76" s="1"/>
      <c r="K76" s="1"/>
    </row>
    <row r="77" spans="1:11" ht="12.75" customHeight="1">
      <c r="A77" s="1"/>
      <c r="B77" s="1"/>
      <c r="C77" s="1"/>
      <c r="D77" s="1"/>
      <c r="E77" s="1"/>
      <c r="F77" s="1"/>
      <c r="G77" s="1"/>
      <c r="H77" s="1"/>
      <c r="I77" s="1"/>
      <c r="J77" s="1"/>
      <c r="K77" s="1"/>
    </row>
    <row r="78" spans="1:11" ht="12.75" customHeight="1">
      <c r="A78" s="1"/>
      <c r="B78" s="1"/>
      <c r="C78" s="1"/>
      <c r="D78" s="1"/>
      <c r="E78" s="1"/>
      <c r="F78" s="1"/>
      <c r="G78" s="1"/>
      <c r="H78" s="1"/>
      <c r="I78" s="1"/>
      <c r="J78" s="1"/>
      <c r="K78" s="1"/>
    </row>
    <row r="79" spans="1:11" ht="12.75" customHeight="1">
      <c r="A79" s="1"/>
      <c r="B79" s="1"/>
      <c r="C79" s="1"/>
      <c r="D79" s="1"/>
      <c r="E79" s="1"/>
      <c r="F79" s="1"/>
      <c r="G79" s="1"/>
      <c r="H79" s="1"/>
      <c r="I79" s="1"/>
      <c r="J79" s="1"/>
      <c r="K79" s="1"/>
    </row>
    <row r="80" spans="1:11" ht="12.75" customHeight="1">
      <c r="A80" s="1"/>
      <c r="B80" s="1"/>
      <c r="C80" s="1"/>
      <c r="D80" s="1"/>
      <c r="E80" s="1"/>
      <c r="F80" s="1"/>
      <c r="G80" s="1"/>
      <c r="H80" s="1"/>
      <c r="I80" s="1"/>
      <c r="J80" s="1"/>
      <c r="K80" s="1"/>
    </row>
    <row r="81" spans="1:11" ht="12.75" customHeight="1">
      <c r="A81" s="1"/>
      <c r="B81" s="1"/>
      <c r="C81" s="1"/>
      <c r="D81" s="1"/>
      <c r="E81" s="1"/>
      <c r="F81" s="1"/>
      <c r="G81" s="1"/>
      <c r="H81" s="1"/>
      <c r="I81" s="1"/>
      <c r="J81" s="1"/>
      <c r="K81" s="1"/>
    </row>
    <row r="82" spans="1:11" ht="12.75" customHeight="1">
      <c r="A82" s="1"/>
      <c r="B82" s="1"/>
      <c r="C82" s="1"/>
      <c r="D82" s="1"/>
      <c r="E82" s="1"/>
      <c r="F82" s="1"/>
      <c r="G82" s="1"/>
      <c r="H82" s="1"/>
      <c r="I82" s="1"/>
      <c r="J82" s="1"/>
      <c r="K82" s="1"/>
    </row>
    <row r="83" spans="1:11" ht="12.75" customHeight="1">
      <c r="A83" s="1"/>
      <c r="B83" s="1"/>
      <c r="C83" s="1"/>
      <c r="D83" s="1"/>
      <c r="E83" s="1"/>
      <c r="F83" s="1"/>
      <c r="G83" s="1"/>
      <c r="H83" s="1"/>
      <c r="I83" s="1"/>
      <c r="J83" s="1"/>
      <c r="K83" s="1"/>
    </row>
    <row r="84" spans="1:11" ht="12.75" customHeight="1">
      <c r="A84" s="1"/>
      <c r="B84" s="1"/>
      <c r="C84" s="1"/>
      <c r="D84" s="1"/>
      <c r="E84" s="1"/>
      <c r="F84" s="1"/>
      <c r="G84" s="1"/>
      <c r="H84" s="1"/>
      <c r="I84" s="1"/>
      <c r="J84" s="1"/>
      <c r="K84" s="1"/>
    </row>
    <row r="85" spans="1:11" ht="12.75" customHeight="1">
      <c r="A85" s="1"/>
      <c r="B85" s="1"/>
      <c r="C85" s="1"/>
      <c r="D85" s="1"/>
      <c r="E85" s="1"/>
      <c r="F85" s="1"/>
      <c r="G85" s="1"/>
      <c r="H85" s="1"/>
      <c r="I85" s="1"/>
      <c r="J85" s="1"/>
      <c r="K85" s="1"/>
    </row>
    <row r="86" spans="1:11" ht="12.75" customHeight="1">
      <c r="A86" s="1"/>
      <c r="B86" s="1"/>
      <c r="C86" s="1"/>
      <c r="D86" s="1"/>
      <c r="E86" s="1"/>
      <c r="F86" s="1"/>
      <c r="G86" s="1"/>
      <c r="H86" s="1"/>
      <c r="I86" s="1"/>
      <c r="J86" s="1"/>
      <c r="K86" s="1"/>
    </row>
    <row r="87" spans="1:11" ht="12.75" customHeight="1">
      <c r="A87" s="1"/>
      <c r="B87" s="1"/>
      <c r="C87" s="1"/>
      <c r="D87" s="1"/>
      <c r="E87" s="1"/>
      <c r="F87" s="1"/>
      <c r="G87" s="1"/>
      <c r="H87" s="1"/>
      <c r="I87" s="1"/>
      <c r="J87" s="1"/>
      <c r="K87" s="1"/>
    </row>
    <row r="88" spans="1:11" ht="12.75" customHeight="1">
      <c r="A88" s="1"/>
      <c r="B88" s="1"/>
      <c r="C88" s="1"/>
      <c r="D88" s="1"/>
      <c r="E88" s="1"/>
      <c r="F88" s="1"/>
      <c r="G88" s="1"/>
      <c r="H88" s="1"/>
      <c r="I88" s="1"/>
      <c r="J88" s="1"/>
      <c r="K88" s="1"/>
    </row>
    <row r="89" spans="1:11" ht="12.75" customHeight="1">
      <c r="A89" s="1"/>
      <c r="B89" s="1"/>
      <c r="C89" s="1"/>
      <c r="D89" s="1"/>
      <c r="E89" s="1"/>
      <c r="F89" s="1"/>
      <c r="G89" s="1"/>
      <c r="H89" s="1"/>
      <c r="I89" s="1"/>
      <c r="J89" s="1"/>
      <c r="K89" s="1"/>
    </row>
    <row r="90" spans="1:11" ht="12.75" customHeight="1">
      <c r="A90" s="1"/>
      <c r="B90" s="1"/>
      <c r="C90" s="1"/>
      <c r="D90" s="1"/>
      <c r="E90" s="1"/>
      <c r="F90" s="1"/>
      <c r="G90" s="1"/>
      <c r="H90" s="1"/>
      <c r="I90" s="1"/>
      <c r="J90" s="1"/>
      <c r="K90" s="1"/>
    </row>
    <row r="91" spans="1:11" ht="12.75" customHeight="1">
      <c r="A91" s="1"/>
      <c r="B91" s="1"/>
      <c r="C91" s="1"/>
      <c r="D91" s="1"/>
      <c r="E91" s="1"/>
      <c r="F91" s="1"/>
      <c r="G91" s="1"/>
      <c r="H91" s="1"/>
      <c r="I91" s="1"/>
      <c r="J91" s="1"/>
      <c r="K91" s="1"/>
    </row>
    <row r="92" spans="1:11" ht="12.75" customHeight="1">
      <c r="A92" s="1"/>
      <c r="B92" s="1"/>
      <c r="C92" s="1"/>
      <c r="D92" s="1"/>
      <c r="E92" s="1"/>
      <c r="F92" s="1"/>
      <c r="G92" s="1"/>
      <c r="H92" s="1"/>
      <c r="I92" s="1"/>
      <c r="J92" s="1"/>
      <c r="K92" s="1"/>
    </row>
    <row r="93" spans="1:11" ht="12.75" customHeight="1">
      <c r="A93" s="1"/>
      <c r="B93" s="1"/>
      <c r="C93" s="1"/>
      <c r="D93" s="1"/>
      <c r="E93" s="1"/>
      <c r="F93" s="1"/>
      <c r="G93" s="1"/>
      <c r="H93" s="1"/>
      <c r="I93" s="1"/>
      <c r="J93" s="1"/>
      <c r="K93" s="1"/>
    </row>
    <row r="94" spans="1:11" ht="12.75" customHeight="1">
      <c r="A94" s="1"/>
      <c r="B94" s="1"/>
      <c r="C94" s="1"/>
      <c r="D94" s="1"/>
      <c r="E94" s="1"/>
      <c r="F94" s="1"/>
      <c r="G94" s="1"/>
      <c r="H94" s="1"/>
      <c r="I94" s="1"/>
      <c r="J94" s="1"/>
      <c r="K94" s="1"/>
    </row>
    <row r="95" spans="1:11" ht="12.75" customHeight="1">
      <c r="A95" s="1"/>
      <c r="B95" s="1"/>
      <c r="C95" s="1"/>
      <c r="D95" s="1"/>
      <c r="E95" s="1"/>
      <c r="F95" s="1"/>
      <c r="G95" s="1"/>
      <c r="H95" s="1"/>
      <c r="I95" s="1"/>
      <c r="J95" s="1"/>
      <c r="K95" s="1"/>
    </row>
    <row r="96" spans="1:11" ht="12.75" customHeight="1">
      <c r="A96" s="1"/>
      <c r="B96" s="1"/>
      <c r="C96" s="1"/>
      <c r="D96" s="1"/>
      <c r="E96" s="1"/>
      <c r="F96" s="1"/>
      <c r="G96" s="1"/>
      <c r="H96" s="1"/>
      <c r="I96" s="1"/>
      <c r="J96" s="1"/>
      <c r="K96" s="1"/>
    </row>
    <row r="97" spans="1:11" ht="12.75" customHeight="1">
      <c r="A97" s="1"/>
      <c r="B97" s="1"/>
      <c r="C97" s="1"/>
      <c r="D97" s="1"/>
      <c r="E97" s="1"/>
      <c r="F97" s="1"/>
      <c r="G97" s="1"/>
      <c r="H97" s="1"/>
      <c r="I97" s="1"/>
      <c r="J97" s="1"/>
      <c r="K97" s="1"/>
    </row>
    <row r="98" spans="1:11" ht="12.75" customHeight="1">
      <c r="A98" s="1"/>
      <c r="B98" s="1"/>
      <c r="C98" s="1"/>
      <c r="D98" s="1"/>
      <c r="E98" s="1"/>
      <c r="F98" s="1"/>
      <c r="G98" s="1"/>
      <c r="H98" s="1"/>
      <c r="I98" s="1"/>
      <c r="J98" s="1"/>
      <c r="K98" s="1"/>
    </row>
    <row r="99" spans="1:11" ht="12.75" customHeight="1">
      <c r="A99" s="1"/>
      <c r="B99" s="1"/>
      <c r="C99" s="1"/>
      <c r="D99" s="1"/>
      <c r="E99" s="1"/>
      <c r="F99" s="1"/>
      <c r="G99" s="1"/>
      <c r="H99" s="1"/>
      <c r="I99" s="1"/>
      <c r="J99" s="1"/>
      <c r="K99" s="1"/>
    </row>
    <row r="100" spans="1:11" ht="12.75" customHeight="1">
      <c r="A100" s="1"/>
      <c r="B100" s="1"/>
      <c r="C100" s="1"/>
      <c r="D100" s="1"/>
      <c r="E100" s="1"/>
      <c r="F100" s="1"/>
      <c r="G100" s="1"/>
      <c r="H100" s="1"/>
      <c r="I100" s="1"/>
      <c r="J100" s="1"/>
      <c r="K100" s="1"/>
    </row>
  </sheetData>
  <mergeCells count="54">
    <mergeCell ref="A24:C24"/>
    <mergeCell ref="D24:E24"/>
    <mergeCell ref="A25:A27"/>
    <mergeCell ref="F25:F27"/>
    <mergeCell ref="B33:C35"/>
    <mergeCell ref="F33:F35"/>
    <mergeCell ref="C7:D7"/>
    <mergeCell ref="C8:F8"/>
    <mergeCell ref="H29:H31"/>
    <mergeCell ref="I29:I31"/>
    <mergeCell ref="F29:F31"/>
    <mergeCell ref="G29:G31"/>
    <mergeCell ref="A28:C28"/>
    <mergeCell ref="D28:E28"/>
    <mergeCell ref="A29:A31"/>
    <mergeCell ref="G25:G27"/>
    <mergeCell ref="H25:H27"/>
    <mergeCell ref="I25:I27"/>
    <mergeCell ref="A22:I22"/>
    <mergeCell ref="A23:C23"/>
    <mergeCell ref="D23:I23"/>
    <mergeCell ref="A17:I17"/>
    <mergeCell ref="A2:I2"/>
    <mergeCell ref="A4:B4"/>
    <mergeCell ref="C4:I4"/>
    <mergeCell ref="C5:E5"/>
    <mergeCell ref="C6:E6"/>
    <mergeCell ref="B73:C74"/>
    <mergeCell ref="B25:C27"/>
    <mergeCell ref="B29:C31"/>
    <mergeCell ref="A32:C32"/>
    <mergeCell ref="D32:E32"/>
    <mergeCell ref="D36:E36"/>
    <mergeCell ref="A39:C39"/>
    <mergeCell ref="A36:C36"/>
    <mergeCell ref="A37:C37"/>
    <mergeCell ref="D37:E37"/>
    <mergeCell ref="D38:E38"/>
    <mergeCell ref="A33:A35"/>
    <mergeCell ref="G33:G35"/>
    <mergeCell ref="H33:H35"/>
    <mergeCell ref="I33:I35"/>
    <mergeCell ref="D39:I39"/>
    <mergeCell ref="A38:C38"/>
    <mergeCell ref="A18:I18"/>
    <mergeCell ref="A19:I19"/>
    <mergeCell ref="A20:I20"/>
    <mergeCell ref="A21:I21"/>
    <mergeCell ref="C9:E9"/>
    <mergeCell ref="A13:I13"/>
    <mergeCell ref="A14:I14"/>
    <mergeCell ref="A15:I15"/>
    <mergeCell ref="A16:B16"/>
    <mergeCell ref="C16:I16"/>
  </mergeCells>
  <conditionalFormatting sqref="J28">
    <cfRule type="expression" dxfId="37" priority="1">
      <formula>"X"</formula>
    </cfRule>
  </conditionalFormatting>
  <conditionalFormatting sqref="J32">
    <cfRule type="expression" dxfId="36" priority="2">
      <formula>"X"</formula>
    </cfRule>
  </conditionalFormatting>
  <conditionalFormatting sqref="J36">
    <cfRule type="expression" dxfId="35" priority="3">
      <formula>"X"</formula>
    </cfRule>
  </conditionalFormatting>
  <dataValidations count="1">
    <dataValidation type="list" allowBlank="1" showErrorMessage="1" sqref="C6" xr:uid="{00000000-0002-0000-0000-000000000000}">
      <formula1>"Kendiri,Pencerapan 1,Pencerapan 2"</formula1>
    </dataValidation>
  </dataValidations>
  <pageMargins left="0.59027777777777801" right="0" top="0" bottom="0" header="0" footer="0"/>
  <pageSetup paperSize="9" scale="88"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
  <sheetViews>
    <sheetView showGridLines="0" workbookViewId="0">
      <selection activeCell="A27" sqref="A27:C27"/>
    </sheetView>
  </sheetViews>
  <sheetFormatPr defaultColWidth="14.36328125" defaultRowHeight="15" customHeight="1"/>
  <cols>
    <col min="1" max="1" width="7.36328125" customWidth="1"/>
    <col min="2" max="2" width="13" customWidth="1"/>
    <col min="3" max="3" width="5.26953125" customWidth="1"/>
    <col min="4" max="4" width="3" customWidth="1"/>
    <col min="5" max="5" width="20.7265625" customWidth="1"/>
    <col min="6" max="6" width="14.26953125" customWidth="1"/>
    <col min="7" max="7" width="14.36328125" customWidth="1"/>
    <col min="8" max="9" width="13.453125" customWidth="1"/>
    <col min="10" max="10" width="6.26953125" customWidth="1"/>
    <col min="11" max="11" width="11.54296875" hidden="1" customWidth="1"/>
  </cols>
  <sheetData>
    <row r="1" spans="1:11" ht="12.75" customHeight="1">
      <c r="A1" s="26"/>
      <c r="B1" s="26"/>
      <c r="C1" s="1"/>
      <c r="D1" s="1"/>
      <c r="E1" s="1"/>
      <c r="F1" s="1"/>
      <c r="G1" s="1"/>
      <c r="H1" s="1"/>
      <c r="I1" s="1"/>
      <c r="J1" s="27"/>
      <c r="K1" s="1"/>
    </row>
    <row r="2" spans="1:11" ht="12.75" customHeight="1">
      <c r="A2" s="26"/>
      <c r="B2" s="6" t="s">
        <v>7</v>
      </c>
      <c r="C2" s="1" t="s">
        <v>8</v>
      </c>
      <c r="D2" s="1"/>
      <c r="E2" s="1"/>
      <c r="F2" s="1"/>
      <c r="G2" s="1"/>
      <c r="H2" s="1"/>
      <c r="I2" s="1"/>
      <c r="J2" s="27"/>
      <c r="K2" s="1"/>
    </row>
    <row r="3" spans="1:11" ht="12.75" customHeight="1">
      <c r="A3" s="1"/>
      <c r="B3" s="1"/>
      <c r="C3" s="1"/>
      <c r="D3" s="1"/>
      <c r="E3" s="1"/>
      <c r="F3" s="1"/>
      <c r="G3" s="1"/>
      <c r="H3" s="1"/>
      <c r="I3" s="1"/>
      <c r="J3" s="1"/>
      <c r="K3" s="1"/>
    </row>
    <row r="4" spans="1:11" ht="15.75" customHeight="1">
      <c r="A4" s="56" t="s">
        <v>42</v>
      </c>
      <c r="B4" s="57"/>
      <c r="C4" s="57"/>
      <c r="D4" s="57"/>
      <c r="E4" s="57"/>
      <c r="F4" s="57"/>
      <c r="G4" s="57"/>
      <c r="H4" s="57"/>
      <c r="I4" s="58"/>
      <c r="J4" s="1"/>
      <c r="K4" s="1"/>
    </row>
    <row r="5" spans="1:11" ht="15.75" customHeight="1">
      <c r="A5" s="61" t="s">
        <v>43</v>
      </c>
      <c r="B5" s="62"/>
      <c r="C5" s="63"/>
      <c r="D5" s="51"/>
      <c r="E5" s="51"/>
      <c r="F5" s="51"/>
      <c r="G5" s="51"/>
      <c r="H5" s="51"/>
      <c r="I5" s="52"/>
      <c r="J5" s="1"/>
      <c r="K5" s="1"/>
    </row>
    <row r="6" spans="1:11" ht="12.75" customHeight="1">
      <c r="A6" s="53" t="s">
        <v>13</v>
      </c>
      <c r="B6" s="51"/>
      <c r="C6" s="51"/>
      <c r="D6" s="51"/>
      <c r="E6" s="51"/>
      <c r="F6" s="51"/>
      <c r="G6" s="51"/>
      <c r="H6" s="51"/>
      <c r="I6" s="52"/>
      <c r="J6" s="1"/>
      <c r="K6" s="1"/>
    </row>
    <row r="7" spans="1:11" ht="33" customHeight="1">
      <c r="A7" s="50" t="s">
        <v>44</v>
      </c>
      <c r="B7" s="51"/>
      <c r="C7" s="51"/>
      <c r="D7" s="51"/>
      <c r="E7" s="51"/>
      <c r="F7" s="51"/>
      <c r="G7" s="51"/>
      <c r="H7" s="51"/>
      <c r="I7" s="52"/>
      <c r="J7" s="1"/>
      <c r="K7" s="1"/>
    </row>
    <row r="8" spans="1:11" ht="12.75" customHeight="1">
      <c r="A8" s="53" t="s">
        <v>15</v>
      </c>
      <c r="B8" s="51"/>
      <c r="C8" s="51"/>
      <c r="D8" s="51"/>
      <c r="E8" s="51"/>
      <c r="F8" s="51"/>
      <c r="G8" s="51"/>
      <c r="H8" s="51"/>
      <c r="I8" s="52"/>
      <c r="J8" s="1"/>
      <c r="K8" s="1"/>
    </row>
    <row r="9" spans="1:11" ht="31" customHeight="1">
      <c r="A9" s="54" t="s">
        <v>45</v>
      </c>
      <c r="B9" s="51"/>
      <c r="C9" s="51"/>
      <c r="D9" s="51"/>
      <c r="E9" s="51"/>
      <c r="F9" s="51"/>
      <c r="G9" s="51"/>
      <c r="H9" s="51"/>
      <c r="I9" s="52"/>
      <c r="J9" s="1"/>
      <c r="K9" s="1"/>
    </row>
    <row r="10" spans="1:11" ht="12.75" customHeight="1">
      <c r="A10" s="53" t="s">
        <v>17</v>
      </c>
      <c r="B10" s="51"/>
      <c r="C10" s="51"/>
      <c r="D10" s="51"/>
      <c r="E10" s="51"/>
      <c r="F10" s="51"/>
      <c r="G10" s="51"/>
      <c r="H10" s="51"/>
      <c r="I10" s="52"/>
      <c r="J10" s="1"/>
      <c r="K10" s="1"/>
    </row>
    <row r="11" spans="1:11" ht="41" customHeight="1">
      <c r="A11" s="50" t="s">
        <v>46</v>
      </c>
      <c r="B11" s="51"/>
      <c r="C11" s="51"/>
      <c r="D11" s="51"/>
      <c r="E11" s="51"/>
      <c r="F11" s="51"/>
      <c r="G11" s="51"/>
      <c r="H11" s="51"/>
      <c r="I11" s="52"/>
      <c r="J11" s="1"/>
      <c r="K11" s="7"/>
    </row>
    <row r="12" spans="1:11" ht="12.75" customHeight="1">
      <c r="A12" s="105" t="s">
        <v>19</v>
      </c>
      <c r="B12" s="51"/>
      <c r="C12" s="62"/>
      <c r="D12" s="106" t="s">
        <v>20</v>
      </c>
      <c r="E12" s="51"/>
      <c r="F12" s="51"/>
      <c r="G12" s="51"/>
      <c r="H12" s="51"/>
      <c r="I12" s="52"/>
      <c r="J12" s="8"/>
      <c r="K12" s="1"/>
    </row>
    <row r="13" spans="1:11" ht="29.25" customHeight="1">
      <c r="A13" s="107" t="s">
        <v>47</v>
      </c>
      <c r="B13" s="51"/>
      <c r="C13" s="62"/>
      <c r="D13" s="108">
        <v>4</v>
      </c>
      <c r="E13" s="109"/>
      <c r="F13" s="9">
        <v>3</v>
      </c>
      <c r="G13" s="9">
        <v>2</v>
      </c>
      <c r="H13" s="9">
        <v>1</v>
      </c>
      <c r="I13" s="10">
        <v>0</v>
      </c>
      <c r="J13" s="8"/>
      <c r="K13" s="1"/>
    </row>
    <row r="14" spans="1:11" ht="25.5" customHeight="1">
      <c r="A14" s="110" t="s">
        <v>22</v>
      </c>
      <c r="B14" s="78" t="s">
        <v>48</v>
      </c>
      <c r="C14" s="79"/>
      <c r="D14" s="11" t="s">
        <v>24</v>
      </c>
      <c r="E14" s="12" t="s">
        <v>49</v>
      </c>
      <c r="F14" s="111" t="s">
        <v>26</v>
      </c>
      <c r="G14" s="103" t="s">
        <v>27</v>
      </c>
      <c r="H14" s="103" t="s">
        <v>28</v>
      </c>
      <c r="I14" s="104" t="s">
        <v>29</v>
      </c>
      <c r="J14" s="13" t="str">
        <f t="shared" ref="J14:J16" si="0">IF(SUM(F14:I14)&gt;1,"X","")</f>
        <v/>
      </c>
      <c r="K14" s="1"/>
    </row>
    <row r="15" spans="1:11" ht="12.75" customHeight="1">
      <c r="A15" s="90"/>
      <c r="B15" s="80"/>
      <c r="C15" s="77"/>
      <c r="D15" s="14" t="s">
        <v>30</v>
      </c>
      <c r="E15" s="15" t="s">
        <v>50</v>
      </c>
      <c r="F15" s="101"/>
      <c r="G15" s="65"/>
      <c r="H15" s="65"/>
      <c r="I15" s="68"/>
      <c r="J15" s="13" t="str">
        <f t="shared" si="0"/>
        <v/>
      </c>
      <c r="K15" s="1"/>
    </row>
    <row r="16" spans="1:11" ht="51" customHeight="1">
      <c r="A16" s="91"/>
      <c r="B16" s="81"/>
      <c r="C16" s="82"/>
      <c r="D16" s="16" t="s">
        <v>32</v>
      </c>
      <c r="E16" s="17" t="s">
        <v>51</v>
      </c>
      <c r="F16" s="102"/>
      <c r="G16" s="66"/>
      <c r="H16" s="66"/>
      <c r="I16" s="69"/>
      <c r="J16" s="13" t="str">
        <f t="shared" si="0"/>
        <v/>
      </c>
      <c r="K16" s="1"/>
    </row>
    <row r="17" spans="1:11" ht="13.5" customHeight="1">
      <c r="A17" s="84" t="s">
        <v>34</v>
      </c>
      <c r="B17" s="74"/>
      <c r="C17" s="75"/>
      <c r="D17" s="85"/>
      <c r="E17" s="75"/>
      <c r="F17" s="18"/>
      <c r="G17" s="18"/>
      <c r="H17" s="18"/>
      <c r="I17" s="19"/>
      <c r="J17" s="13">
        <f>IF((D17+F17+G17+H17+I17)&gt;1,"X",IF((D17+F17+G17+H17+I17)=0,0,""))</f>
        <v>0</v>
      </c>
      <c r="K17" s="1"/>
    </row>
    <row r="18" spans="1:11" ht="26.25" customHeight="1">
      <c r="A18" s="89" t="s">
        <v>35</v>
      </c>
      <c r="B18" s="83" t="s">
        <v>52</v>
      </c>
      <c r="C18" s="77"/>
      <c r="D18" s="14" t="s">
        <v>24</v>
      </c>
      <c r="E18" s="15" t="s">
        <v>49</v>
      </c>
      <c r="F18" s="100" t="s">
        <v>26</v>
      </c>
      <c r="G18" s="64" t="s">
        <v>27</v>
      </c>
      <c r="H18" s="64" t="s">
        <v>28</v>
      </c>
      <c r="I18" s="67" t="s">
        <v>29</v>
      </c>
      <c r="J18" s="13" t="str">
        <f t="shared" ref="J18:J20" si="1">IF(SUM(F18:I18)&gt;1,"X","")</f>
        <v/>
      </c>
      <c r="K18" s="1"/>
    </row>
    <row r="19" spans="1:11" ht="12.75" customHeight="1">
      <c r="A19" s="90"/>
      <c r="B19" s="80"/>
      <c r="C19" s="77"/>
      <c r="D19" s="14" t="s">
        <v>30</v>
      </c>
      <c r="E19" s="15" t="s">
        <v>50</v>
      </c>
      <c r="F19" s="101"/>
      <c r="G19" s="65"/>
      <c r="H19" s="65"/>
      <c r="I19" s="68"/>
      <c r="J19" s="13" t="str">
        <f t="shared" si="1"/>
        <v/>
      </c>
      <c r="K19" s="1"/>
    </row>
    <row r="20" spans="1:11" ht="31" customHeight="1">
      <c r="A20" s="91"/>
      <c r="B20" s="81"/>
      <c r="C20" s="82"/>
      <c r="D20" s="16" t="s">
        <v>32</v>
      </c>
      <c r="E20" s="17" t="s">
        <v>51</v>
      </c>
      <c r="F20" s="102"/>
      <c r="G20" s="66"/>
      <c r="H20" s="66"/>
      <c r="I20" s="69"/>
      <c r="J20" s="13" t="str">
        <f t="shared" si="1"/>
        <v/>
      </c>
      <c r="K20" s="1"/>
    </row>
    <row r="21" spans="1:11" ht="13.5" customHeight="1">
      <c r="A21" s="84" t="s">
        <v>34</v>
      </c>
      <c r="B21" s="74"/>
      <c r="C21" s="75"/>
      <c r="D21" s="85"/>
      <c r="E21" s="75"/>
      <c r="F21" s="18"/>
      <c r="G21" s="18"/>
      <c r="H21" s="18"/>
      <c r="I21" s="19"/>
      <c r="J21" s="13">
        <f>IF((D21+F21+G21+H21+I21)&gt;1,"X",IF((D21+F21+G21+H21+I21)=0,0,""))</f>
        <v>0</v>
      </c>
      <c r="K21" s="1"/>
    </row>
    <row r="22" spans="1:11" ht="26.25" customHeight="1">
      <c r="A22" s="89" t="s">
        <v>37</v>
      </c>
      <c r="B22" s="83" t="s">
        <v>53</v>
      </c>
      <c r="C22" s="77"/>
      <c r="D22" s="14" t="s">
        <v>24</v>
      </c>
      <c r="E22" s="15" t="s">
        <v>49</v>
      </c>
      <c r="F22" s="100" t="s">
        <v>26</v>
      </c>
      <c r="G22" s="64" t="s">
        <v>27</v>
      </c>
      <c r="H22" s="64" t="s">
        <v>28</v>
      </c>
      <c r="I22" s="67" t="s">
        <v>29</v>
      </c>
      <c r="J22" s="13" t="str">
        <f t="shared" ref="J22:J24" si="2">IF(SUM(F22:I22)&gt;1,"X","")</f>
        <v/>
      </c>
      <c r="K22" s="1"/>
    </row>
    <row r="23" spans="1:11" ht="12.75" customHeight="1">
      <c r="A23" s="90"/>
      <c r="B23" s="80"/>
      <c r="C23" s="77"/>
      <c r="D23" s="14" t="s">
        <v>30</v>
      </c>
      <c r="E23" s="15" t="s">
        <v>50</v>
      </c>
      <c r="F23" s="101"/>
      <c r="G23" s="65"/>
      <c r="H23" s="65"/>
      <c r="I23" s="68"/>
      <c r="J23" s="13" t="str">
        <f t="shared" si="2"/>
        <v/>
      </c>
      <c r="K23" s="1"/>
    </row>
    <row r="24" spans="1:11" ht="34" customHeight="1">
      <c r="A24" s="91"/>
      <c r="B24" s="81"/>
      <c r="C24" s="82"/>
      <c r="D24" s="16" t="s">
        <v>32</v>
      </c>
      <c r="E24" s="17" t="s">
        <v>51</v>
      </c>
      <c r="F24" s="102"/>
      <c r="G24" s="66"/>
      <c r="H24" s="66"/>
      <c r="I24" s="69"/>
      <c r="J24" s="13" t="str">
        <f t="shared" si="2"/>
        <v/>
      </c>
      <c r="K24" s="1"/>
    </row>
    <row r="25" spans="1:11" ht="13.5" customHeight="1">
      <c r="A25" s="84" t="s">
        <v>34</v>
      </c>
      <c r="B25" s="74"/>
      <c r="C25" s="75"/>
      <c r="D25" s="85"/>
      <c r="E25" s="75"/>
      <c r="F25" s="18"/>
      <c r="G25" s="18"/>
      <c r="H25" s="18"/>
      <c r="I25" s="19"/>
      <c r="J25" s="13">
        <f>IF((D25+F25+G25+H25+I25)&gt;1,"X",IF((D25+F25+G25+H25+I25)=0,0,""))</f>
        <v>0</v>
      </c>
      <c r="K25" s="1"/>
    </row>
    <row r="26" spans="1:11" ht="24.5" customHeight="1">
      <c r="A26" s="112" t="s">
        <v>54</v>
      </c>
      <c r="B26" s="113"/>
      <c r="C26" s="114"/>
      <c r="D26" s="115">
        <f>IF(SUM(D17+D21+D25)="","",(SUM(D17+D21+D25)))</f>
        <v>0</v>
      </c>
      <c r="E26" s="114"/>
      <c r="F26" s="28">
        <f t="shared" ref="F26:I26" si="3">IF(SUM(F17+F21+F25)="","",(SUM(F17+F21+F25)))</f>
        <v>0</v>
      </c>
      <c r="G26" s="28">
        <f t="shared" si="3"/>
        <v>0</v>
      </c>
      <c r="H26" s="28">
        <f t="shared" si="3"/>
        <v>0</v>
      </c>
      <c r="I26" s="29">
        <f t="shared" si="3"/>
        <v>0</v>
      </c>
      <c r="J26" s="1"/>
      <c r="K26" s="1"/>
    </row>
    <row r="27" spans="1:11" ht="26.5" customHeight="1">
      <c r="A27" s="112" t="s">
        <v>40</v>
      </c>
      <c r="B27" s="113"/>
      <c r="C27" s="114"/>
      <c r="D27" s="115">
        <f>IF((D26)="","",(D26)*D13)</f>
        <v>0</v>
      </c>
      <c r="E27" s="114"/>
      <c r="F27" s="28">
        <f t="shared" ref="F27:I27" si="4">IF((F26)="","",(F26)*F13)</f>
        <v>0</v>
      </c>
      <c r="G27" s="28">
        <f t="shared" si="4"/>
        <v>0</v>
      </c>
      <c r="H27" s="28">
        <f t="shared" si="4"/>
        <v>0</v>
      </c>
      <c r="I27" s="29">
        <f t="shared" si="4"/>
        <v>0</v>
      </c>
      <c r="J27" s="1"/>
      <c r="K27" s="1"/>
    </row>
    <row r="28" spans="1:11" ht="27.5" customHeight="1">
      <c r="A28" s="86" t="s">
        <v>55</v>
      </c>
      <c r="B28" s="71"/>
      <c r="C28" s="87"/>
      <c r="D28" s="70">
        <f>IF(J28="X","X",SUM(D27:I27))</f>
        <v>0</v>
      </c>
      <c r="E28" s="71"/>
      <c r="F28" s="71"/>
      <c r="G28" s="71"/>
      <c r="H28" s="71"/>
      <c r="I28" s="72"/>
      <c r="J28" s="22">
        <f>IF(OR(J25="X",J21="X",J17="X"),"X",1)</f>
        <v>1</v>
      </c>
      <c r="K28" s="1"/>
    </row>
    <row r="29" spans="1:11" ht="12.75" customHeight="1">
      <c r="A29" s="1"/>
      <c r="B29" s="1"/>
      <c r="C29" s="1"/>
      <c r="D29" s="1"/>
      <c r="E29" s="1"/>
      <c r="F29" s="1"/>
      <c r="G29" s="1"/>
      <c r="H29" s="1"/>
      <c r="I29" s="1"/>
      <c r="J29" s="1"/>
      <c r="K29" s="1"/>
    </row>
    <row r="30" spans="1:11" ht="12.75" customHeight="1">
      <c r="A30" s="1"/>
      <c r="B30" s="1"/>
      <c r="C30" s="1"/>
      <c r="D30" s="1"/>
      <c r="E30" s="1"/>
      <c r="F30" s="1"/>
      <c r="G30" s="1"/>
      <c r="H30" s="1"/>
      <c r="I30" s="1"/>
      <c r="J30" s="1"/>
      <c r="K30" s="1"/>
    </row>
    <row r="31" spans="1:11" ht="12.75" customHeight="1">
      <c r="A31" s="1"/>
      <c r="B31" s="1"/>
      <c r="C31" s="1"/>
      <c r="D31" s="1"/>
      <c r="E31" s="1"/>
      <c r="F31" s="1"/>
      <c r="G31" s="1"/>
      <c r="H31" s="1"/>
      <c r="I31" s="1"/>
      <c r="J31" s="1"/>
      <c r="K31" s="1"/>
    </row>
    <row r="32" spans="1:11" ht="12.75" customHeight="1">
      <c r="A32" s="1"/>
      <c r="B32" s="1"/>
      <c r="C32" s="1"/>
      <c r="D32" s="1"/>
      <c r="E32" s="1"/>
      <c r="F32" s="1"/>
      <c r="G32" s="1"/>
      <c r="H32" s="1"/>
      <c r="I32" s="1"/>
      <c r="J32" s="1"/>
      <c r="K32" s="1"/>
    </row>
    <row r="33" spans="1:11" ht="12.75" customHeight="1">
      <c r="A33" s="1"/>
      <c r="B33" s="1"/>
      <c r="C33" s="1"/>
      <c r="D33" s="1"/>
      <c r="E33" s="1"/>
      <c r="F33" s="1"/>
      <c r="G33" s="1"/>
      <c r="H33" s="1"/>
      <c r="I33" s="1"/>
      <c r="J33" s="1"/>
      <c r="K33" s="1"/>
    </row>
    <row r="34" spans="1:11" ht="12.75" customHeight="1">
      <c r="A34" s="1"/>
      <c r="B34" s="1"/>
      <c r="C34" s="1"/>
      <c r="D34" s="1"/>
      <c r="E34" s="1"/>
      <c r="F34" s="1"/>
      <c r="G34" s="1"/>
      <c r="H34" s="1"/>
      <c r="I34" s="1"/>
      <c r="J34" s="1"/>
      <c r="K34" s="1"/>
    </row>
    <row r="35" spans="1:11" ht="12.75" customHeight="1">
      <c r="A35" s="1"/>
      <c r="B35" s="1"/>
      <c r="C35" s="1"/>
      <c r="D35" s="1"/>
      <c r="E35" s="1"/>
      <c r="F35" s="1"/>
      <c r="G35" s="1"/>
      <c r="H35" s="1"/>
      <c r="I35" s="1"/>
      <c r="J35" s="1"/>
      <c r="K35" s="1"/>
    </row>
    <row r="36" spans="1:11" ht="12.75" customHeight="1">
      <c r="A36" s="1"/>
      <c r="B36" s="1"/>
      <c r="C36" s="1"/>
      <c r="D36" s="1"/>
      <c r="E36" s="1"/>
      <c r="F36" s="1"/>
      <c r="G36" s="1"/>
      <c r="H36" s="1"/>
      <c r="I36" s="1"/>
      <c r="J36" s="1"/>
      <c r="K36" s="1"/>
    </row>
    <row r="37" spans="1:11" ht="12.75" customHeight="1">
      <c r="A37" s="1"/>
      <c r="B37" s="1"/>
      <c r="C37" s="1"/>
      <c r="D37" s="1"/>
      <c r="E37" s="1"/>
      <c r="F37" s="1"/>
      <c r="G37" s="1"/>
      <c r="H37" s="1"/>
      <c r="I37" s="1"/>
      <c r="J37" s="1"/>
      <c r="K37" s="1"/>
    </row>
    <row r="38" spans="1:11" ht="12.75" customHeight="1">
      <c r="A38" s="1"/>
      <c r="B38" s="1"/>
      <c r="C38" s="1"/>
      <c r="D38" s="1"/>
      <c r="E38" s="1"/>
      <c r="F38" s="1"/>
      <c r="G38" s="1"/>
      <c r="H38" s="1"/>
      <c r="I38" s="1"/>
      <c r="J38" s="1"/>
      <c r="K38" s="1"/>
    </row>
    <row r="39" spans="1:11" ht="12.75" customHeight="1">
      <c r="A39" s="1"/>
      <c r="B39" s="1"/>
      <c r="C39" s="1"/>
      <c r="D39" s="1"/>
      <c r="E39" s="1"/>
      <c r="F39" s="1"/>
      <c r="G39" s="1"/>
      <c r="H39" s="1"/>
      <c r="I39" s="1"/>
      <c r="J39" s="1"/>
      <c r="K39" s="1"/>
    </row>
    <row r="40" spans="1:11" ht="12.75" customHeight="1">
      <c r="A40" s="1"/>
      <c r="B40" s="1"/>
      <c r="C40" s="1"/>
      <c r="D40" s="1"/>
      <c r="E40" s="1"/>
      <c r="F40" s="1"/>
      <c r="G40" s="1"/>
      <c r="H40" s="1"/>
      <c r="I40" s="1"/>
      <c r="J40" s="1"/>
      <c r="K40" s="1"/>
    </row>
    <row r="41" spans="1:11" ht="12.75" customHeight="1">
      <c r="A41" s="1"/>
      <c r="B41" s="1"/>
      <c r="C41" s="1"/>
      <c r="D41" s="1"/>
      <c r="E41" s="1"/>
      <c r="F41" s="1"/>
      <c r="G41" s="1"/>
      <c r="H41" s="1"/>
      <c r="I41" s="1"/>
      <c r="J41" s="1"/>
      <c r="K41" s="1"/>
    </row>
    <row r="42" spans="1:11" ht="12.75" customHeight="1">
      <c r="A42" s="1"/>
      <c r="B42" s="1"/>
      <c r="C42" s="1"/>
      <c r="D42" s="1"/>
      <c r="E42" s="1"/>
      <c r="F42" s="1"/>
      <c r="G42" s="1"/>
      <c r="H42" s="1"/>
      <c r="I42" s="1"/>
      <c r="J42" s="1"/>
      <c r="K42" s="1"/>
    </row>
    <row r="43" spans="1:11" ht="12.75" customHeight="1">
      <c r="A43" s="1"/>
      <c r="B43" s="1"/>
      <c r="C43" s="1"/>
      <c r="D43" s="1"/>
      <c r="E43" s="1"/>
      <c r="F43" s="1"/>
      <c r="G43" s="1"/>
      <c r="H43" s="1"/>
      <c r="I43" s="1"/>
      <c r="J43" s="1"/>
      <c r="K43" s="1"/>
    </row>
    <row r="44" spans="1:11" ht="12.75" customHeight="1">
      <c r="A44" s="1"/>
      <c r="B44" s="1"/>
      <c r="C44" s="1"/>
      <c r="D44" s="1"/>
      <c r="E44" s="1"/>
      <c r="F44" s="1"/>
      <c r="G44" s="1"/>
      <c r="H44" s="1"/>
      <c r="I44" s="1"/>
      <c r="J44" s="1"/>
      <c r="K44" s="1"/>
    </row>
    <row r="45" spans="1:11" ht="12.75" customHeight="1">
      <c r="A45" s="1"/>
      <c r="B45" s="1"/>
      <c r="C45" s="1"/>
      <c r="D45" s="1"/>
      <c r="E45" s="1"/>
      <c r="F45" s="1"/>
      <c r="G45" s="1"/>
      <c r="H45" s="1"/>
      <c r="I45" s="1"/>
      <c r="J45" s="1"/>
      <c r="K45" s="1"/>
    </row>
    <row r="46" spans="1:11" ht="12.75" customHeight="1">
      <c r="A46" s="1"/>
      <c r="B46" s="1"/>
      <c r="C46" s="1"/>
      <c r="D46" s="1"/>
      <c r="E46" s="1"/>
      <c r="F46" s="1"/>
      <c r="G46" s="1"/>
      <c r="H46" s="1"/>
      <c r="I46" s="1"/>
      <c r="J46" s="1"/>
      <c r="K46" s="1"/>
    </row>
    <row r="47" spans="1:11" ht="12.75" customHeight="1">
      <c r="A47" s="1"/>
      <c r="B47" s="1"/>
      <c r="C47" s="1"/>
      <c r="D47" s="1"/>
      <c r="E47" s="1"/>
      <c r="F47" s="1"/>
      <c r="G47" s="1"/>
      <c r="H47" s="1"/>
      <c r="I47" s="1"/>
      <c r="J47" s="1"/>
      <c r="K47" s="1"/>
    </row>
    <row r="48" spans="1:11" ht="12.75" customHeight="1">
      <c r="A48" s="1"/>
      <c r="B48" s="1"/>
      <c r="C48" s="1"/>
      <c r="D48" s="1"/>
      <c r="E48" s="1"/>
      <c r="F48" s="1"/>
      <c r="G48" s="1"/>
      <c r="H48" s="1"/>
      <c r="I48" s="1"/>
      <c r="J48" s="1"/>
      <c r="K48" s="1"/>
    </row>
    <row r="49" spans="1:11" ht="12.75" customHeight="1">
      <c r="A49" s="1"/>
      <c r="B49" s="1"/>
      <c r="C49" s="1"/>
      <c r="D49" s="1"/>
      <c r="E49" s="1"/>
      <c r="F49" s="1"/>
      <c r="G49" s="1"/>
      <c r="H49" s="1"/>
      <c r="I49" s="1"/>
      <c r="J49" s="1"/>
      <c r="K49" s="1"/>
    </row>
    <row r="50" spans="1:11" ht="12.75" customHeight="1">
      <c r="A50" s="1"/>
      <c r="B50" s="1"/>
      <c r="C50" s="1"/>
      <c r="D50" s="1"/>
      <c r="E50" s="1"/>
      <c r="F50" s="1"/>
      <c r="G50" s="1"/>
      <c r="H50" s="1"/>
      <c r="I50" s="1"/>
      <c r="J50" s="1"/>
      <c r="K50" s="1"/>
    </row>
    <row r="51" spans="1:11" ht="12.75" customHeight="1">
      <c r="A51" s="1"/>
      <c r="B51" s="1"/>
      <c r="C51" s="1"/>
      <c r="D51" s="1"/>
      <c r="E51" s="1"/>
      <c r="F51" s="1"/>
      <c r="G51" s="1"/>
      <c r="H51" s="1"/>
      <c r="I51" s="1"/>
      <c r="J51" s="1"/>
      <c r="K51" s="1"/>
    </row>
    <row r="52" spans="1:11" ht="12.75" customHeight="1">
      <c r="A52" s="1"/>
      <c r="B52" s="1"/>
      <c r="C52" s="1"/>
      <c r="D52" s="1"/>
      <c r="E52" s="1"/>
      <c r="F52" s="1"/>
      <c r="G52" s="1"/>
      <c r="H52" s="1"/>
      <c r="I52" s="1"/>
      <c r="J52" s="1"/>
      <c r="K52" s="1"/>
    </row>
    <row r="53" spans="1:11" ht="12.75" hidden="1" customHeight="1">
      <c r="A53" s="1"/>
      <c r="B53" s="1"/>
      <c r="C53" s="1"/>
      <c r="D53" s="1"/>
      <c r="E53" s="1"/>
      <c r="F53" s="1"/>
      <c r="G53" s="1"/>
      <c r="H53" s="1"/>
      <c r="I53" s="1"/>
      <c r="J53" s="1"/>
      <c r="K53" s="1"/>
    </row>
    <row r="54" spans="1:11" ht="12.75" hidden="1" customHeight="1">
      <c r="A54" s="1"/>
      <c r="B54" s="1"/>
      <c r="C54" s="1"/>
      <c r="D54" s="1"/>
      <c r="E54" s="1"/>
      <c r="F54" s="1"/>
      <c r="G54" s="1"/>
      <c r="H54" s="1"/>
      <c r="I54" s="1"/>
      <c r="J54" s="1"/>
      <c r="K54" s="1"/>
    </row>
    <row r="55" spans="1:11" ht="12.75" hidden="1" customHeight="1">
      <c r="A55" s="1"/>
      <c r="B55" s="1"/>
      <c r="C55" s="1"/>
      <c r="D55" s="1"/>
      <c r="E55" s="1"/>
      <c r="F55" s="1"/>
      <c r="G55" s="1"/>
      <c r="H55" s="1"/>
      <c r="I55" s="1"/>
      <c r="J55" s="1"/>
      <c r="K55" s="1"/>
    </row>
    <row r="56" spans="1:11" ht="12.75" hidden="1" customHeight="1">
      <c r="A56" s="1"/>
      <c r="B56" s="1"/>
      <c r="C56" s="1"/>
      <c r="D56" s="1"/>
      <c r="E56" s="1"/>
      <c r="F56" s="1"/>
      <c r="G56" s="1"/>
      <c r="H56" s="1"/>
      <c r="I56" s="1"/>
      <c r="J56" s="1"/>
      <c r="K56" s="1"/>
    </row>
    <row r="57" spans="1:11" ht="12.75" hidden="1" customHeight="1">
      <c r="A57" s="1"/>
      <c r="B57" s="1"/>
      <c r="C57" s="1"/>
      <c r="D57" s="1"/>
      <c r="E57" s="1"/>
      <c r="F57" s="1"/>
      <c r="G57" s="1"/>
      <c r="H57" s="1"/>
      <c r="I57" s="1"/>
      <c r="J57" s="1"/>
      <c r="K57" s="1"/>
    </row>
    <row r="58" spans="1:11" ht="12.75" hidden="1" customHeight="1">
      <c r="A58" s="1"/>
      <c r="B58" s="1"/>
      <c r="C58" s="1"/>
      <c r="D58" s="1"/>
      <c r="E58" s="1"/>
      <c r="F58" s="1"/>
      <c r="G58" s="1"/>
      <c r="H58" s="1"/>
      <c r="I58" s="1"/>
      <c r="J58" s="1"/>
      <c r="K58" s="1"/>
    </row>
    <row r="59" spans="1:11" ht="12.75" hidden="1" customHeight="1">
      <c r="A59" s="1"/>
      <c r="B59" s="1"/>
      <c r="C59" s="1"/>
      <c r="D59" s="1"/>
      <c r="E59" s="1"/>
      <c r="F59" s="1"/>
      <c r="G59" s="1"/>
      <c r="H59" s="1"/>
      <c r="I59" s="1"/>
      <c r="J59" s="1"/>
      <c r="K59" s="1"/>
    </row>
    <row r="60" spans="1:11" ht="12.75" hidden="1" customHeight="1">
      <c r="A60" s="1"/>
      <c r="B60" s="1"/>
      <c r="C60" s="1"/>
      <c r="D60" s="1"/>
      <c r="E60" s="23"/>
      <c r="F60" s="1"/>
      <c r="G60" s="1"/>
      <c r="H60" s="1"/>
      <c r="I60" s="1"/>
      <c r="J60" s="1"/>
      <c r="K60" s="1"/>
    </row>
    <row r="61" spans="1:11" ht="12.75" hidden="1" customHeight="1">
      <c r="A61" s="1"/>
      <c r="B61" s="1"/>
      <c r="C61" s="24"/>
      <c r="D61" s="1"/>
      <c r="E61" s="23"/>
      <c r="F61" s="1"/>
      <c r="G61" s="1"/>
      <c r="H61" s="1"/>
      <c r="I61" s="1"/>
      <c r="J61" s="1"/>
      <c r="K61" s="1"/>
    </row>
    <row r="62" spans="1:11" ht="12.75" hidden="1" customHeight="1">
      <c r="A62" s="1"/>
      <c r="B62" s="76"/>
      <c r="C62" s="77"/>
      <c r="D62" s="1"/>
      <c r="E62" s="23"/>
      <c r="F62" s="1"/>
      <c r="G62" s="1"/>
      <c r="H62" s="1"/>
      <c r="I62" s="1"/>
      <c r="J62" s="1"/>
      <c r="K62" s="1"/>
    </row>
    <row r="63" spans="1:11" ht="12.75" hidden="1" customHeight="1">
      <c r="A63" s="1"/>
      <c r="B63" s="77"/>
      <c r="C63" s="77"/>
      <c r="D63" s="1"/>
      <c r="E63" s="1"/>
      <c r="F63" s="1"/>
      <c r="G63" s="1"/>
      <c r="H63" s="1"/>
      <c r="I63" s="1"/>
      <c r="J63" s="1"/>
      <c r="K63" s="1"/>
    </row>
    <row r="64" spans="1:11" ht="12.75" hidden="1" customHeight="1">
      <c r="A64" s="1"/>
      <c r="B64" s="1"/>
      <c r="C64" s="1"/>
      <c r="D64" s="1"/>
      <c r="E64" s="1"/>
      <c r="F64" s="1"/>
      <c r="G64" s="1"/>
      <c r="H64" s="1"/>
      <c r="I64" s="1"/>
      <c r="J64" s="1"/>
      <c r="K64" s="1"/>
    </row>
    <row r="65" spans="1:11" ht="12.75" hidden="1" customHeight="1">
      <c r="A65" s="1"/>
      <c r="B65" s="1"/>
      <c r="C65" s="1"/>
      <c r="D65" s="1"/>
      <c r="E65" s="1"/>
      <c r="F65" s="1"/>
      <c r="G65" s="1"/>
      <c r="H65" s="1"/>
      <c r="I65" s="1"/>
      <c r="J65" s="1"/>
      <c r="K65" s="1"/>
    </row>
    <row r="66" spans="1:11" ht="12.75" hidden="1" customHeight="1">
      <c r="A66" s="1"/>
      <c r="B66" s="1"/>
      <c r="C66" s="1"/>
      <c r="D66" s="1"/>
      <c r="E66" s="1"/>
      <c r="F66" s="1"/>
      <c r="G66" s="1"/>
      <c r="H66" s="1"/>
      <c r="I66" s="1"/>
      <c r="J66" s="1"/>
      <c r="K66" s="1"/>
    </row>
    <row r="67" spans="1:11" ht="12.75" customHeight="1">
      <c r="A67" s="1"/>
      <c r="B67" s="1"/>
      <c r="C67" s="1"/>
      <c r="D67" s="1"/>
      <c r="E67" s="1"/>
      <c r="F67" s="1"/>
      <c r="G67" s="1"/>
      <c r="H67" s="1"/>
      <c r="I67" s="1"/>
      <c r="J67" s="1"/>
      <c r="K67" s="1"/>
    </row>
    <row r="68" spans="1:11" ht="12.75" customHeight="1">
      <c r="A68" s="1"/>
      <c r="B68" s="1"/>
      <c r="C68" s="1"/>
      <c r="D68" s="1"/>
      <c r="E68" s="1"/>
      <c r="F68" s="1"/>
      <c r="G68" s="1"/>
      <c r="H68" s="1"/>
      <c r="I68" s="1"/>
      <c r="J68" s="1"/>
      <c r="K68" s="1"/>
    </row>
    <row r="69" spans="1:11" ht="12.75" customHeight="1">
      <c r="A69" s="1"/>
      <c r="B69" s="1"/>
      <c r="C69" s="1"/>
      <c r="D69" s="1"/>
      <c r="E69" s="1"/>
      <c r="F69" s="1"/>
      <c r="G69" s="1"/>
      <c r="H69" s="1"/>
      <c r="I69" s="1"/>
      <c r="J69" s="1"/>
      <c r="K69" s="1"/>
    </row>
    <row r="70" spans="1:11" ht="12.75" customHeight="1">
      <c r="A70" s="1"/>
      <c r="B70" s="1"/>
      <c r="C70" s="1"/>
      <c r="D70" s="1"/>
      <c r="E70" s="1"/>
      <c r="F70" s="1"/>
      <c r="G70" s="1"/>
      <c r="H70" s="1"/>
      <c r="I70" s="1"/>
      <c r="J70" s="1"/>
      <c r="K70" s="1"/>
    </row>
    <row r="71" spans="1:11" ht="12.75" customHeight="1">
      <c r="A71" s="1"/>
      <c r="B71" s="1"/>
      <c r="C71" s="1"/>
      <c r="D71" s="1"/>
      <c r="E71" s="1"/>
      <c r="F71" s="1"/>
      <c r="G71" s="1"/>
      <c r="H71" s="1"/>
      <c r="I71" s="1"/>
      <c r="J71" s="1"/>
      <c r="K71" s="1"/>
    </row>
    <row r="72" spans="1:11" ht="12.75" customHeight="1">
      <c r="A72" s="1"/>
      <c r="B72" s="1"/>
      <c r="C72" s="1"/>
      <c r="D72" s="1"/>
      <c r="E72" s="1"/>
      <c r="F72" s="1"/>
      <c r="G72" s="1"/>
      <c r="H72" s="1"/>
      <c r="I72" s="1"/>
      <c r="J72" s="1"/>
      <c r="K72" s="1"/>
    </row>
    <row r="73" spans="1:11" ht="12.75" customHeight="1">
      <c r="A73" s="1"/>
      <c r="B73" s="1"/>
      <c r="C73" s="1"/>
      <c r="D73" s="1"/>
      <c r="E73" s="1"/>
      <c r="F73" s="1"/>
      <c r="G73" s="1"/>
      <c r="H73" s="1"/>
      <c r="I73" s="1"/>
      <c r="J73" s="1"/>
      <c r="K73" s="1"/>
    </row>
    <row r="74" spans="1:11" ht="12.75" customHeight="1">
      <c r="A74" s="1"/>
      <c r="B74" s="1"/>
      <c r="C74" s="1"/>
      <c r="D74" s="1"/>
      <c r="E74" s="1"/>
      <c r="F74" s="1"/>
      <c r="G74" s="1"/>
      <c r="H74" s="1"/>
      <c r="I74" s="1"/>
      <c r="J74" s="1"/>
      <c r="K74" s="1"/>
    </row>
    <row r="75" spans="1:11" ht="12.75" customHeight="1">
      <c r="A75" s="1"/>
      <c r="B75" s="1"/>
      <c r="C75" s="1"/>
      <c r="D75" s="1"/>
      <c r="E75" s="1"/>
      <c r="F75" s="1"/>
      <c r="G75" s="1"/>
      <c r="H75" s="1"/>
      <c r="I75" s="1"/>
      <c r="J75" s="1"/>
      <c r="K75" s="1"/>
    </row>
    <row r="76" spans="1:11" ht="12.75" customHeight="1">
      <c r="A76" s="1"/>
      <c r="B76" s="1"/>
      <c r="C76" s="1"/>
      <c r="D76" s="1"/>
      <c r="E76" s="1"/>
      <c r="F76" s="1"/>
      <c r="G76" s="1"/>
      <c r="H76" s="1"/>
      <c r="I76" s="1"/>
      <c r="J76" s="1"/>
      <c r="K76" s="1"/>
    </row>
    <row r="77" spans="1:11" ht="12.75" customHeight="1">
      <c r="A77" s="1"/>
      <c r="B77" s="1"/>
      <c r="C77" s="1"/>
      <c r="D77" s="1"/>
      <c r="E77" s="1"/>
      <c r="F77" s="1"/>
      <c r="G77" s="1"/>
      <c r="H77" s="1"/>
      <c r="I77" s="1"/>
      <c r="J77" s="1"/>
      <c r="K77" s="1"/>
    </row>
    <row r="78" spans="1:11" ht="12.75" customHeight="1">
      <c r="A78" s="1"/>
      <c r="B78" s="1"/>
      <c r="C78" s="1"/>
      <c r="D78" s="1"/>
      <c r="E78" s="1"/>
      <c r="F78" s="1"/>
      <c r="G78" s="1"/>
      <c r="H78" s="1"/>
      <c r="I78" s="1"/>
      <c r="J78" s="1"/>
      <c r="K78" s="1"/>
    </row>
    <row r="79" spans="1:11" ht="12.75" customHeight="1">
      <c r="A79" s="1"/>
      <c r="B79" s="1"/>
      <c r="C79" s="1"/>
      <c r="D79" s="1"/>
      <c r="E79" s="1"/>
      <c r="F79" s="1"/>
      <c r="G79" s="1"/>
      <c r="H79" s="1"/>
      <c r="I79" s="1"/>
      <c r="J79" s="1"/>
      <c r="K79" s="1"/>
    </row>
    <row r="80" spans="1:11" ht="12.75" customHeight="1">
      <c r="A80" s="1"/>
      <c r="B80" s="1"/>
      <c r="C80" s="1"/>
      <c r="D80" s="1"/>
      <c r="E80" s="1"/>
      <c r="F80" s="1"/>
      <c r="G80" s="1"/>
      <c r="H80" s="1"/>
      <c r="I80" s="1"/>
      <c r="J80" s="1"/>
      <c r="K80" s="1"/>
    </row>
    <row r="81" spans="1:11" ht="12.75" customHeight="1">
      <c r="A81" s="1"/>
      <c r="B81" s="1"/>
      <c r="C81" s="1"/>
      <c r="D81" s="1"/>
      <c r="E81" s="1"/>
      <c r="F81" s="1"/>
      <c r="G81" s="1"/>
      <c r="H81" s="1"/>
      <c r="I81" s="1"/>
      <c r="J81" s="1"/>
      <c r="K81" s="1"/>
    </row>
    <row r="82" spans="1:11" ht="12.75" customHeight="1">
      <c r="A82" s="1"/>
      <c r="B82" s="1"/>
      <c r="C82" s="1"/>
      <c r="D82" s="1"/>
      <c r="E82" s="1"/>
      <c r="F82" s="1"/>
      <c r="G82" s="1"/>
      <c r="H82" s="1"/>
      <c r="I82" s="1"/>
      <c r="J82" s="1"/>
      <c r="K82" s="1"/>
    </row>
    <row r="83" spans="1:11" ht="12.75" customHeight="1">
      <c r="A83" s="1"/>
      <c r="B83" s="1"/>
      <c r="C83" s="1"/>
      <c r="D83" s="1"/>
      <c r="E83" s="1"/>
      <c r="F83" s="1"/>
      <c r="G83" s="1"/>
      <c r="H83" s="1"/>
      <c r="I83" s="1"/>
      <c r="J83" s="1"/>
      <c r="K83" s="1"/>
    </row>
    <row r="84" spans="1:11" ht="12.75" customHeight="1">
      <c r="A84" s="1"/>
      <c r="B84" s="1"/>
      <c r="C84" s="1"/>
      <c r="D84" s="1"/>
      <c r="E84" s="1"/>
      <c r="F84" s="1"/>
      <c r="G84" s="1"/>
      <c r="H84" s="1"/>
      <c r="I84" s="1"/>
      <c r="J84" s="1"/>
      <c r="K84" s="1"/>
    </row>
    <row r="85" spans="1:11" ht="12.75" customHeight="1">
      <c r="A85" s="1"/>
      <c r="B85" s="1"/>
      <c r="C85" s="1"/>
      <c r="D85" s="1"/>
      <c r="E85" s="1"/>
      <c r="F85" s="1"/>
      <c r="G85" s="1"/>
      <c r="H85" s="1"/>
      <c r="I85" s="1"/>
      <c r="J85" s="1"/>
      <c r="K85" s="1"/>
    </row>
    <row r="86" spans="1:11" ht="12.75" customHeight="1">
      <c r="A86" s="1"/>
      <c r="B86" s="1"/>
      <c r="C86" s="1"/>
      <c r="D86" s="1"/>
      <c r="E86" s="1"/>
      <c r="F86" s="1"/>
      <c r="G86" s="1"/>
      <c r="H86" s="1"/>
      <c r="I86" s="1"/>
      <c r="J86" s="1"/>
      <c r="K86" s="1"/>
    </row>
    <row r="87" spans="1:11" ht="12.75" customHeight="1">
      <c r="A87" s="1"/>
      <c r="B87" s="1"/>
      <c r="C87" s="1"/>
      <c r="D87" s="1"/>
      <c r="E87" s="1"/>
      <c r="F87" s="1"/>
      <c r="G87" s="1"/>
      <c r="H87" s="1"/>
      <c r="I87" s="1"/>
      <c r="J87" s="1"/>
      <c r="K87" s="1"/>
    </row>
    <row r="88" spans="1:11" ht="12.75" customHeight="1">
      <c r="A88" s="1"/>
      <c r="B88" s="1"/>
      <c r="C88" s="1"/>
      <c r="D88" s="1"/>
      <c r="E88" s="1"/>
      <c r="F88" s="1"/>
      <c r="G88" s="1"/>
      <c r="H88" s="1"/>
      <c r="I88" s="1"/>
      <c r="J88" s="1"/>
      <c r="K88" s="1"/>
    </row>
    <row r="89" spans="1:11" ht="12.75" customHeight="1">
      <c r="A89" s="1"/>
      <c r="B89" s="1"/>
      <c r="C89" s="1"/>
      <c r="D89" s="1"/>
      <c r="E89" s="1"/>
      <c r="F89" s="1"/>
      <c r="G89" s="1"/>
      <c r="H89" s="1"/>
      <c r="I89" s="1"/>
      <c r="J89" s="1"/>
      <c r="K89" s="1"/>
    </row>
    <row r="90" spans="1:11" ht="12.75" customHeight="1">
      <c r="A90" s="1"/>
      <c r="B90" s="1"/>
      <c r="C90" s="1"/>
      <c r="D90" s="1"/>
      <c r="E90" s="1"/>
      <c r="F90" s="1"/>
      <c r="G90" s="1"/>
      <c r="H90" s="1"/>
      <c r="I90" s="1"/>
      <c r="J90" s="1"/>
      <c r="K90" s="1"/>
    </row>
    <row r="91" spans="1:11" ht="12.75" customHeight="1">
      <c r="A91" s="1"/>
      <c r="B91" s="1"/>
      <c r="C91" s="1"/>
      <c r="D91" s="1"/>
      <c r="E91" s="1"/>
      <c r="F91" s="1"/>
      <c r="G91" s="1"/>
      <c r="H91" s="1"/>
      <c r="I91" s="1"/>
      <c r="J91" s="1"/>
      <c r="K91" s="1"/>
    </row>
    <row r="92" spans="1:11" ht="12.75" customHeight="1">
      <c r="A92" s="1"/>
      <c r="B92" s="1"/>
      <c r="C92" s="1"/>
      <c r="D92" s="1"/>
      <c r="E92" s="1"/>
      <c r="F92" s="1"/>
      <c r="G92" s="1"/>
      <c r="H92" s="1"/>
      <c r="I92" s="1"/>
      <c r="J92" s="1"/>
      <c r="K92" s="1"/>
    </row>
    <row r="93" spans="1:11" ht="12.75" customHeight="1">
      <c r="A93" s="1"/>
      <c r="B93" s="1"/>
      <c r="C93" s="1"/>
      <c r="D93" s="1"/>
      <c r="E93" s="1"/>
      <c r="F93" s="1"/>
      <c r="G93" s="1"/>
      <c r="H93" s="1"/>
      <c r="I93" s="1"/>
      <c r="J93" s="1"/>
      <c r="K93" s="1"/>
    </row>
    <row r="94" spans="1:11" ht="12.75" customHeight="1">
      <c r="A94" s="1"/>
      <c r="B94" s="1"/>
      <c r="C94" s="1"/>
      <c r="D94" s="1"/>
      <c r="E94" s="1"/>
      <c r="F94" s="1"/>
      <c r="G94" s="1"/>
      <c r="H94" s="1"/>
      <c r="I94" s="1"/>
      <c r="J94" s="1"/>
      <c r="K94" s="1"/>
    </row>
    <row r="95" spans="1:11" ht="12.75" customHeight="1">
      <c r="A95" s="1"/>
      <c r="B95" s="1"/>
      <c r="C95" s="1"/>
      <c r="D95" s="1"/>
      <c r="E95" s="1"/>
      <c r="F95" s="1"/>
      <c r="G95" s="1"/>
      <c r="H95" s="1"/>
      <c r="I95" s="1"/>
      <c r="J95" s="1"/>
      <c r="K95" s="1"/>
    </row>
    <row r="96" spans="1:11" ht="12.75" customHeight="1">
      <c r="A96" s="1"/>
      <c r="B96" s="1"/>
      <c r="C96" s="1"/>
      <c r="D96" s="1"/>
      <c r="E96" s="1"/>
      <c r="F96" s="1"/>
      <c r="G96" s="1"/>
      <c r="H96" s="1"/>
      <c r="I96" s="1"/>
      <c r="J96" s="1"/>
      <c r="K96" s="1"/>
    </row>
    <row r="97" spans="1:11" ht="12.75" customHeight="1">
      <c r="A97" s="1"/>
      <c r="B97" s="1"/>
      <c r="C97" s="1"/>
      <c r="D97" s="1"/>
      <c r="E97" s="1"/>
      <c r="F97" s="1"/>
      <c r="G97" s="1"/>
      <c r="H97" s="1"/>
      <c r="I97" s="1"/>
      <c r="J97" s="1"/>
      <c r="K97" s="1"/>
    </row>
    <row r="98" spans="1:11" ht="12.75" customHeight="1">
      <c r="A98" s="1"/>
      <c r="B98" s="1"/>
      <c r="C98" s="1"/>
      <c r="D98" s="1"/>
      <c r="E98" s="1"/>
      <c r="F98" s="1"/>
      <c r="G98" s="1"/>
      <c r="H98" s="1"/>
      <c r="I98" s="1"/>
      <c r="J98" s="1"/>
      <c r="K98" s="1"/>
    </row>
    <row r="99" spans="1:11" ht="12.75" customHeight="1">
      <c r="A99" s="1"/>
      <c r="B99" s="1"/>
      <c r="C99" s="1"/>
      <c r="D99" s="1"/>
      <c r="E99" s="1"/>
      <c r="F99" s="1"/>
      <c r="G99" s="1"/>
      <c r="H99" s="1"/>
      <c r="I99" s="1"/>
      <c r="J99" s="1"/>
      <c r="K99" s="1"/>
    </row>
    <row r="100" spans="1:11" ht="12.75" customHeight="1">
      <c r="A100" s="1"/>
      <c r="B100" s="1"/>
      <c r="C100" s="1"/>
      <c r="D100" s="1"/>
      <c r="E100" s="1"/>
      <c r="F100" s="1"/>
      <c r="G100" s="1"/>
      <c r="H100" s="1"/>
      <c r="I100" s="1"/>
      <c r="J100" s="1"/>
      <c r="K100" s="1"/>
    </row>
  </sheetData>
  <mergeCells count="44">
    <mergeCell ref="D26:E26"/>
    <mergeCell ref="D27:E27"/>
    <mergeCell ref="D28:I28"/>
    <mergeCell ref="F22:F24"/>
    <mergeCell ref="G22:G24"/>
    <mergeCell ref="H22:H24"/>
    <mergeCell ref="I22:I24"/>
    <mergeCell ref="D25:E25"/>
    <mergeCell ref="D21:E21"/>
    <mergeCell ref="A25:C25"/>
    <mergeCell ref="A22:A24"/>
    <mergeCell ref="F18:F20"/>
    <mergeCell ref="G18:G20"/>
    <mergeCell ref="B18:C20"/>
    <mergeCell ref="A18:A20"/>
    <mergeCell ref="B22:C24"/>
    <mergeCell ref="A4:I4"/>
    <mergeCell ref="A5:B5"/>
    <mergeCell ref="C5:I5"/>
    <mergeCell ref="A6:I6"/>
    <mergeCell ref="A9:I9"/>
    <mergeCell ref="A7:I7"/>
    <mergeCell ref="A8:I8"/>
    <mergeCell ref="A10:I10"/>
    <mergeCell ref="A11:I11"/>
    <mergeCell ref="D12:I12"/>
    <mergeCell ref="B14:C16"/>
    <mergeCell ref="H18:H20"/>
    <mergeCell ref="I18:I20"/>
    <mergeCell ref="A12:C12"/>
    <mergeCell ref="A13:C13"/>
    <mergeCell ref="D13:E13"/>
    <mergeCell ref="F14:F16"/>
    <mergeCell ref="D17:E17"/>
    <mergeCell ref="G14:G16"/>
    <mergeCell ref="H14:H16"/>
    <mergeCell ref="I14:I16"/>
    <mergeCell ref="A14:A16"/>
    <mergeCell ref="B62:C63"/>
    <mergeCell ref="A21:C21"/>
    <mergeCell ref="A27:C27"/>
    <mergeCell ref="A28:C28"/>
    <mergeCell ref="A17:C17"/>
    <mergeCell ref="A26:C26"/>
  </mergeCells>
  <conditionalFormatting sqref="J17">
    <cfRule type="expression" dxfId="34" priority="1">
      <formula>"X"</formula>
    </cfRule>
  </conditionalFormatting>
  <conditionalFormatting sqref="J21">
    <cfRule type="expression" dxfId="33" priority="2">
      <formula>"X"</formula>
    </cfRule>
  </conditionalFormatting>
  <conditionalFormatting sqref="J25">
    <cfRule type="expression" dxfId="32" priority="3">
      <formula>"X"</formula>
    </cfRule>
  </conditionalFormatting>
  <pageMargins left="0.59027777777777801" right="0" top="0" bottom="0" header="0" footer="0"/>
  <pageSetup paperSize="9" scale="90"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
  <sheetViews>
    <sheetView showGridLines="0" workbookViewId="0">
      <selection activeCell="F25" sqref="F25"/>
    </sheetView>
  </sheetViews>
  <sheetFormatPr defaultColWidth="14.36328125" defaultRowHeight="15" customHeight="1"/>
  <cols>
    <col min="1" max="1" width="7.36328125" customWidth="1"/>
    <col min="2" max="2" width="13" customWidth="1"/>
    <col min="3" max="3" width="8.7265625" customWidth="1"/>
    <col min="4" max="4" width="3" customWidth="1"/>
    <col min="5" max="5" width="33.1796875" customWidth="1"/>
    <col min="6" max="6" width="14.26953125" customWidth="1"/>
    <col min="7" max="7" width="14.36328125" customWidth="1"/>
    <col min="8" max="9" width="13.453125" customWidth="1"/>
    <col min="10" max="10" width="4.7265625" customWidth="1"/>
    <col min="11" max="11" width="8.7265625" customWidth="1"/>
  </cols>
  <sheetData>
    <row r="1" spans="1:11" ht="12.75" customHeight="1">
      <c r="A1" s="26"/>
      <c r="B1" s="26"/>
      <c r="C1" s="1"/>
      <c r="D1" s="1"/>
      <c r="E1" s="1"/>
      <c r="F1" s="1"/>
      <c r="G1" s="1"/>
      <c r="H1" s="1"/>
      <c r="I1" s="1"/>
      <c r="J1" s="27"/>
      <c r="K1" s="1"/>
    </row>
    <row r="2" spans="1:11" ht="12.75" customHeight="1">
      <c r="A2" s="26"/>
      <c r="B2" s="6" t="s">
        <v>7</v>
      </c>
      <c r="C2" s="1" t="s">
        <v>8</v>
      </c>
      <c r="D2" s="1"/>
      <c r="E2" s="1"/>
      <c r="F2" s="1"/>
      <c r="G2" s="1"/>
      <c r="H2" s="1"/>
      <c r="I2" s="1"/>
      <c r="J2" s="27"/>
      <c r="K2" s="1"/>
    </row>
    <row r="3" spans="1:11" ht="12.75" customHeight="1">
      <c r="A3" s="1"/>
      <c r="B3" s="1"/>
      <c r="C3" s="1"/>
      <c r="D3" s="1"/>
      <c r="E3" s="1"/>
      <c r="F3" s="1"/>
      <c r="G3" s="1"/>
      <c r="H3" s="1"/>
      <c r="I3" s="1"/>
      <c r="J3" s="1"/>
      <c r="K3" s="1"/>
    </row>
    <row r="4" spans="1:11" ht="12.75" customHeight="1">
      <c r="A4" s="56" t="s">
        <v>42</v>
      </c>
      <c r="B4" s="57"/>
      <c r="C4" s="57"/>
      <c r="D4" s="57"/>
      <c r="E4" s="57"/>
      <c r="F4" s="57"/>
      <c r="G4" s="57"/>
      <c r="H4" s="57"/>
      <c r="I4" s="58"/>
      <c r="J4" s="1"/>
      <c r="K4" s="1"/>
    </row>
    <row r="5" spans="1:11" ht="19" customHeight="1">
      <c r="A5" s="61" t="s">
        <v>56</v>
      </c>
      <c r="B5" s="62"/>
      <c r="C5" s="63"/>
      <c r="D5" s="51"/>
      <c r="E5" s="51"/>
      <c r="F5" s="51"/>
      <c r="G5" s="51"/>
      <c r="H5" s="51"/>
      <c r="I5" s="52"/>
      <c r="J5" s="1"/>
      <c r="K5" s="1"/>
    </row>
    <row r="6" spans="1:11" ht="12.75" customHeight="1">
      <c r="A6" s="53" t="s">
        <v>13</v>
      </c>
      <c r="B6" s="51"/>
      <c r="C6" s="51"/>
      <c r="D6" s="51"/>
      <c r="E6" s="51"/>
      <c r="F6" s="51"/>
      <c r="G6" s="51"/>
      <c r="H6" s="51"/>
      <c r="I6" s="52"/>
      <c r="J6" s="1"/>
      <c r="K6" s="1"/>
    </row>
    <row r="7" spans="1:11" ht="22.5" customHeight="1">
      <c r="A7" s="50" t="s">
        <v>57</v>
      </c>
      <c r="B7" s="51"/>
      <c r="C7" s="51"/>
      <c r="D7" s="51"/>
      <c r="E7" s="51"/>
      <c r="F7" s="51"/>
      <c r="G7" s="51"/>
      <c r="H7" s="51"/>
      <c r="I7" s="52"/>
      <c r="J7" s="1"/>
      <c r="K7" s="1"/>
    </row>
    <row r="8" spans="1:11" ht="12.75" customHeight="1">
      <c r="A8" s="53" t="s">
        <v>15</v>
      </c>
      <c r="B8" s="51"/>
      <c r="C8" s="51"/>
      <c r="D8" s="51"/>
      <c r="E8" s="51"/>
      <c r="F8" s="51"/>
      <c r="G8" s="51"/>
      <c r="H8" s="51"/>
      <c r="I8" s="52"/>
      <c r="J8" s="1"/>
      <c r="K8" s="1"/>
    </row>
    <row r="9" spans="1:11" ht="22" customHeight="1">
      <c r="A9" s="54" t="s">
        <v>58</v>
      </c>
      <c r="B9" s="51"/>
      <c r="C9" s="51"/>
      <c r="D9" s="51"/>
      <c r="E9" s="51"/>
      <c r="F9" s="51"/>
      <c r="G9" s="51"/>
      <c r="H9" s="51"/>
      <c r="I9" s="52"/>
      <c r="J9" s="1"/>
      <c r="K9" s="1"/>
    </row>
    <row r="10" spans="1:11" ht="12.75" customHeight="1">
      <c r="A10" s="53" t="s">
        <v>17</v>
      </c>
      <c r="B10" s="51"/>
      <c r="C10" s="51"/>
      <c r="D10" s="51"/>
      <c r="E10" s="51"/>
      <c r="F10" s="51"/>
      <c r="G10" s="51"/>
      <c r="H10" s="51"/>
      <c r="I10" s="52"/>
      <c r="J10" s="1"/>
      <c r="K10" s="1"/>
    </row>
    <row r="11" spans="1:11" ht="41.5" customHeight="1">
      <c r="A11" s="50" t="s">
        <v>59</v>
      </c>
      <c r="B11" s="51"/>
      <c r="C11" s="51"/>
      <c r="D11" s="51"/>
      <c r="E11" s="51"/>
      <c r="F11" s="51"/>
      <c r="G11" s="51"/>
      <c r="H11" s="51"/>
      <c r="I11" s="52"/>
      <c r="J11" s="1"/>
      <c r="K11" s="1"/>
    </row>
    <row r="12" spans="1:11" ht="15.75" customHeight="1">
      <c r="A12" s="105" t="s">
        <v>19</v>
      </c>
      <c r="B12" s="51"/>
      <c r="C12" s="62"/>
      <c r="D12" s="106" t="s">
        <v>20</v>
      </c>
      <c r="E12" s="51"/>
      <c r="F12" s="51"/>
      <c r="G12" s="51"/>
      <c r="H12" s="51"/>
      <c r="I12" s="52"/>
      <c r="J12" s="1"/>
      <c r="K12" s="1"/>
    </row>
    <row r="13" spans="1:11" ht="29.25" customHeight="1">
      <c r="A13" s="107" t="s">
        <v>60</v>
      </c>
      <c r="B13" s="51"/>
      <c r="C13" s="62"/>
      <c r="D13" s="108">
        <v>4</v>
      </c>
      <c r="E13" s="109"/>
      <c r="F13" s="9">
        <v>3</v>
      </c>
      <c r="G13" s="9">
        <v>2</v>
      </c>
      <c r="H13" s="9">
        <v>1</v>
      </c>
      <c r="I13" s="10">
        <v>0</v>
      </c>
      <c r="J13" s="1"/>
      <c r="K13" s="1"/>
    </row>
    <row r="14" spans="1:11" ht="25.5" customHeight="1">
      <c r="A14" s="110" t="s">
        <v>22</v>
      </c>
      <c r="B14" s="78" t="s">
        <v>61</v>
      </c>
      <c r="C14" s="79"/>
      <c r="D14" s="11" t="s">
        <v>24</v>
      </c>
      <c r="E14" s="12" t="s">
        <v>62</v>
      </c>
      <c r="F14" s="111" t="s">
        <v>26</v>
      </c>
      <c r="G14" s="103" t="s">
        <v>27</v>
      </c>
      <c r="H14" s="103" t="s">
        <v>28</v>
      </c>
      <c r="I14" s="104" t="s">
        <v>29</v>
      </c>
      <c r="J14" s="13"/>
      <c r="K14" s="1"/>
    </row>
    <row r="15" spans="1:11" ht="25.5" customHeight="1">
      <c r="A15" s="90"/>
      <c r="B15" s="80"/>
      <c r="C15" s="77"/>
      <c r="D15" s="14" t="s">
        <v>30</v>
      </c>
      <c r="E15" s="15" t="s">
        <v>63</v>
      </c>
      <c r="F15" s="101"/>
      <c r="G15" s="65"/>
      <c r="H15" s="65"/>
      <c r="I15" s="68"/>
      <c r="J15" s="13"/>
      <c r="K15" s="1"/>
    </row>
    <row r="16" spans="1:11" ht="21.5" customHeight="1">
      <c r="A16" s="91"/>
      <c r="B16" s="81"/>
      <c r="C16" s="82"/>
      <c r="D16" s="16" t="s">
        <v>32</v>
      </c>
      <c r="E16" s="17" t="s">
        <v>51</v>
      </c>
      <c r="F16" s="102"/>
      <c r="G16" s="66"/>
      <c r="H16" s="66"/>
      <c r="I16" s="69"/>
      <c r="J16" s="13"/>
      <c r="K16" s="1"/>
    </row>
    <row r="17" spans="1:11" ht="14.25" customHeight="1">
      <c r="A17" s="84" t="s">
        <v>34</v>
      </c>
      <c r="B17" s="74"/>
      <c r="C17" s="75"/>
      <c r="D17" s="85"/>
      <c r="E17" s="75"/>
      <c r="F17" s="18">
        <v>1</v>
      </c>
      <c r="G17" s="18"/>
      <c r="H17" s="18"/>
      <c r="I17" s="19"/>
      <c r="J17" s="13" t="str">
        <f>IF((D17+F17+G17+H17+I17)&gt;1,"X",IF((D17+F17+G17+H17+I17)=0,0,""))</f>
        <v/>
      </c>
      <c r="K17" s="1"/>
    </row>
    <row r="18" spans="1:11" ht="15" customHeight="1">
      <c r="A18" s="89" t="s">
        <v>35</v>
      </c>
      <c r="B18" s="83" t="s">
        <v>64</v>
      </c>
      <c r="C18" s="77"/>
      <c r="D18" s="14" t="s">
        <v>24</v>
      </c>
      <c r="E18" s="15" t="s">
        <v>62</v>
      </c>
      <c r="F18" s="100" t="s">
        <v>26</v>
      </c>
      <c r="G18" s="64" t="s">
        <v>27</v>
      </c>
      <c r="H18" s="64" t="s">
        <v>28</v>
      </c>
      <c r="I18" s="67" t="s">
        <v>29</v>
      </c>
      <c r="J18" s="13"/>
      <c r="K18" s="1"/>
    </row>
    <row r="19" spans="1:11" ht="25.5" customHeight="1">
      <c r="A19" s="90"/>
      <c r="B19" s="80"/>
      <c r="C19" s="77"/>
      <c r="D19" s="14" t="s">
        <v>30</v>
      </c>
      <c r="E19" s="15" t="s">
        <v>63</v>
      </c>
      <c r="F19" s="101"/>
      <c r="G19" s="65"/>
      <c r="H19" s="65"/>
      <c r="I19" s="68"/>
      <c r="J19" s="13"/>
      <c r="K19" s="1"/>
    </row>
    <row r="20" spans="1:11" ht="31" customHeight="1">
      <c r="A20" s="91"/>
      <c r="B20" s="81"/>
      <c r="C20" s="82"/>
      <c r="D20" s="16" t="s">
        <v>32</v>
      </c>
      <c r="E20" s="17" t="s">
        <v>51</v>
      </c>
      <c r="F20" s="102"/>
      <c r="G20" s="66"/>
      <c r="H20" s="66"/>
      <c r="I20" s="69"/>
      <c r="J20" s="13"/>
      <c r="K20" s="1"/>
    </row>
    <row r="21" spans="1:11" ht="14.25" customHeight="1">
      <c r="A21" s="84" t="s">
        <v>34</v>
      </c>
      <c r="B21" s="74"/>
      <c r="C21" s="75"/>
      <c r="D21" s="85"/>
      <c r="E21" s="75"/>
      <c r="F21" s="18">
        <v>1</v>
      </c>
      <c r="G21" s="18"/>
      <c r="H21" s="18"/>
      <c r="I21" s="19"/>
      <c r="J21" s="13" t="str">
        <f>IF((D21+F21+G21+H21+I21)&gt;1,"X",IF((D21+F21+G21+H21+I21)=0,0,""))</f>
        <v/>
      </c>
      <c r="K21" s="1"/>
    </row>
    <row r="22" spans="1:11" ht="13.5" customHeight="1">
      <c r="A22" s="89" t="s">
        <v>37</v>
      </c>
      <c r="B22" s="83" t="s">
        <v>65</v>
      </c>
      <c r="C22" s="77"/>
      <c r="D22" s="14" t="s">
        <v>24</v>
      </c>
      <c r="E22" s="15" t="s">
        <v>62</v>
      </c>
      <c r="F22" s="100" t="s">
        <v>26</v>
      </c>
      <c r="G22" s="64" t="s">
        <v>27</v>
      </c>
      <c r="H22" s="64" t="s">
        <v>28</v>
      </c>
      <c r="I22" s="67" t="s">
        <v>29</v>
      </c>
      <c r="J22" s="13"/>
      <c r="K22" s="1"/>
    </row>
    <row r="23" spans="1:11" ht="28.5" customHeight="1">
      <c r="A23" s="90"/>
      <c r="B23" s="80"/>
      <c r="C23" s="77"/>
      <c r="D23" s="14" t="s">
        <v>30</v>
      </c>
      <c r="E23" s="15" t="s">
        <v>63</v>
      </c>
      <c r="F23" s="101"/>
      <c r="G23" s="65"/>
      <c r="H23" s="65"/>
      <c r="I23" s="68"/>
      <c r="J23" s="13"/>
      <c r="K23" s="1"/>
    </row>
    <row r="24" spans="1:11" ht="25" customHeight="1">
      <c r="A24" s="91"/>
      <c r="B24" s="81"/>
      <c r="C24" s="82"/>
      <c r="D24" s="16" t="s">
        <v>32</v>
      </c>
      <c r="E24" s="17" t="s">
        <v>51</v>
      </c>
      <c r="F24" s="102"/>
      <c r="G24" s="66"/>
      <c r="H24" s="66"/>
      <c r="I24" s="69"/>
      <c r="J24" s="13"/>
      <c r="K24" s="1"/>
    </row>
    <row r="25" spans="1:11" ht="14.25" customHeight="1">
      <c r="A25" s="84" t="s">
        <v>34</v>
      </c>
      <c r="B25" s="74"/>
      <c r="C25" s="75"/>
      <c r="D25" s="85">
        <v>1</v>
      </c>
      <c r="E25" s="75"/>
      <c r="F25" s="18"/>
      <c r="G25" s="18"/>
      <c r="H25" s="18"/>
      <c r="I25" s="19"/>
      <c r="J25" s="13" t="str">
        <f>IF((D25+F25+G25+H25+I25)&gt;1,"X",IF((D25+F25+G25+H25+I25)=0,0,""))</f>
        <v/>
      </c>
      <c r="K25" s="1"/>
    </row>
    <row r="26" spans="1:11" ht="18" customHeight="1">
      <c r="A26" s="89" t="s">
        <v>66</v>
      </c>
      <c r="B26" s="83" t="s">
        <v>67</v>
      </c>
      <c r="C26" s="77"/>
      <c r="D26" s="14" t="s">
        <v>24</v>
      </c>
      <c r="E26" s="15" t="s">
        <v>62</v>
      </c>
      <c r="F26" s="100" t="s">
        <v>26</v>
      </c>
      <c r="G26" s="64" t="s">
        <v>27</v>
      </c>
      <c r="H26" s="64" t="s">
        <v>28</v>
      </c>
      <c r="I26" s="67" t="s">
        <v>29</v>
      </c>
      <c r="J26" s="13"/>
      <c r="K26" s="1"/>
    </row>
    <row r="27" spans="1:11" ht="26.25" customHeight="1">
      <c r="A27" s="90"/>
      <c r="B27" s="80"/>
      <c r="C27" s="77"/>
      <c r="D27" s="14" t="s">
        <v>30</v>
      </c>
      <c r="E27" s="15" t="s">
        <v>63</v>
      </c>
      <c r="F27" s="101"/>
      <c r="G27" s="65"/>
      <c r="H27" s="65"/>
      <c r="I27" s="68"/>
      <c r="J27" s="13"/>
      <c r="K27" s="1"/>
    </row>
    <row r="28" spans="1:11" ht="40" customHeight="1">
      <c r="A28" s="91"/>
      <c r="B28" s="81"/>
      <c r="C28" s="82"/>
      <c r="D28" s="16" t="s">
        <v>32</v>
      </c>
      <c r="E28" s="17" t="s">
        <v>51</v>
      </c>
      <c r="F28" s="102"/>
      <c r="G28" s="66"/>
      <c r="H28" s="66"/>
      <c r="I28" s="69"/>
      <c r="J28" s="13"/>
      <c r="K28" s="1"/>
    </row>
    <row r="29" spans="1:11" ht="14.25" customHeight="1">
      <c r="A29" s="84" t="s">
        <v>34</v>
      </c>
      <c r="B29" s="74"/>
      <c r="C29" s="75"/>
      <c r="D29" s="85">
        <v>1</v>
      </c>
      <c r="E29" s="75"/>
      <c r="F29" s="18"/>
      <c r="G29" s="18"/>
      <c r="H29" s="18"/>
      <c r="I29" s="19"/>
      <c r="J29" s="13" t="str">
        <f>IF((D29+F29+G29+H29+I29)&gt;1,"X",IF((D29+F29+G29+H29+I29)=0,0,""))</f>
        <v/>
      </c>
      <c r="K29" s="1"/>
    </row>
    <row r="30" spans="1:11" ht="16.5" customHeight="1">
      <c r="A30" s="116" t="s">
        <v>68</v>
      </c>
      <c r="B30" s="117"/>
      <c r="C30" s="118"/>
      <c r="D30" s="119">
        <f>IF(SUM(D17+D21+D25+D29)="","",(SUM(D17+D21+D25+D29)))</f>
        <v>2</v>
      </c>
      <c r="E30" s="118"/>
      <c r="F30" s="30">
        <f t="shared" ref="F30:I30" si="0">IF(SUM(F17+F21+F25+F29)="","",(SUM(F17+F21+F25+F29)))</f>
        <v>2</v>
      </c>
      <c r="G30" s="30">
        <f t="shared" si="0"/>
        <v>0</v>
      </c>
      <c r="H30" s="30">
        <f t="shared" si="0"/>
        <v>0</v>
      </c>
      <c r="I30" s="31">
        <f t="shared" si="0"/>
        <v>0</v>
      </c>
      <c r="J30" s="1"/>
      <c r="K30" s="1"/>
    </row>
    <row r="31" spans="1:11" ht="16.5" customHeight="1">
      <c r="A31" s="116" t="s">
        <v>40</v>
      </c>
      <c r="B31" s="117"/>
      <c r="C31" s="118"/>
      <c r="D31" s="119">
        <f>IF((D30)="","",(D30)*D13)</f>
        <v>8</v>
      </c>
      <c r="E31" s="118"/>
      <c r="F31" s="30">
        <f t="shared" ref="F31:I31" si="1">IF((F30)="","",(F30)*F13)</f>
        <v>6</v>
      </c>
      <c r="G31" s="30">
        <f t="shared" si="1"/>
        <v>0</v>
      </c>
      <c r="H31" s="30">
        <f t="shared" si="1"/>
        <v>0</v>
      </c>
      <c r="I31" s="31">
        <f t="shared" si="1"/>
        <v>0</v>
      </c>
      <c r="J31" s="1"/>
      <c r="K31" s="1"/>
    </row>
    <row r="32" spans="1:11" ht="16.5" customHeight="1">
      <c r="A32" s="86" t="s">
        <v>69</v>
      </c>
      <c r="B32" s="71"/>
      <c r="C32" s="87"/>
      <c r="D32" s="70">
        <f>IF(J32="X","X",SUM(D31:I31))</f>
        <v>14</v>
      </c>
      <c r="E32" s="71"/>
      <c r="F32" s="71"/>
      <c r="G32" s="71"/>
      <c r="H32" s="71"/>
      <c r="I32" s="72"/>
      <c r="J32" s="22">
        <f>IF(OR(J29="X",J25="X",J21="X",J17="X"),"X",1)</f>
        <v>1</v>
      </c>
      <c r="K32" s="1"/>
    </row>
    <row r="33" spans="1:11" ht="12.75" customHeight="1">
      <c r="A33" s="1"/>
      <c r="B33" s="1"/>
      <c r="C33" s="1"/>
      <c r="D33" s="1"/>
      <c r="E33" s="1"/>
      <c r="F33" s="1"/>
      <c r="G33" s="1"/>
      <c r="H33" s="1"/>
      <c r="I33" s="1"/>
      <c r="J33" s="1"/>
      <c r="K33" s="1"/>
    </row>
    <row r="34" spans="1:11" ht="12.75" customHeight="1">
      <c r="A34" s="1"/>
      <c r="B34" s="1"/>
      <c r="C34" s="1"/>
      <c r="D34" s="1"/>
      <c r="E34" s="1"/>
      <c r="F34" s="1"/>
      <c r="G34" s="1"/>
      <c r="H34" s="1"/>
      <c r="I34" s="1"/>
      <c r="J34" s="1"/>
      <c r="K34" s="1"/>
    </row>
    <row r="35" spans="1:11" ht="12.75" customHeight="1">
      <c r="A35" s="1"/>
      <c r="B35" s="1"/>
      <c r="C35" s="1"/>
      <c r="D35" s="1"/>
      <c r="E35" s="1"/>
      <c r="F35" s="1"/>
      <c r="G35" s="1"/>
      <c r="H35" s="1"/>
      <c r="I35" s="1"/>
      <c r="J35" s="1"/>
      <c r="K35" s="1"/>
    </row>
    <row r="36" spans="1:11" ht="12.75" customHeight="1">
      <c r="A36" s="1"/>
      <c r="B36" s="1"/>
      <c r="C36" s="1"/>
      <c r="D36" s="1"/>
      <c r="E36" s="1"/>
      <c r="F36" s="1"/>
      <c r="G36" s="1"/>
      <c r="H36" s="1"/>
      <c r="I36" s="1"/>
      <c r="J36" s="1"/>
      <c r="K36" s="1"/>
    </row>
    <row r="37" spans="1:11" ht="12.75" customHeight="1">
      <c r="A37" s="1"/>
      <c r="B37" s="1"/>
      <c r="C37" s="1"/>
      <c r="D37" s="1"/>
      <c r="E37" s="1"/>
      <c r="F37" s="1"/>
      <c r="G37" s="1"/>
      <c r="H37" s="1"/>
      <c r="I37" s="1"/>
      <c r="J37" s="1"/>
      <c r="K37" s="1"/>
    </row>
    <row r="38" spans="1:11" ht="12.75" customHeight="1">
      <c r="A38" s="1"/>
      <c r="B38" s="1"/>
      <c r="C38" s="1"/>
      <c r="D38" s="1"/>
      <c r="E38" s="1"/>
      <c r="F38" s="1"/>
      <c r="G38" s="1"/>
      <c r="H38" s="1"/>
      <c r="I38" s="1"/>
      <c r="J38" s="1"/>
      <c r="K38" s="1"/>
    </row>
    <row r="39" spans="1:11" ht="12.75" customHeight="1">
      <c r="A39" s="1"/>
      <c r="B39" s="1"/>
      <c r="C39" s="1"/>
      <c r="D39" s="1"/>
      <c r="E39" s="1"/>
      <c r="F39" s="1"/>
      <c r="G39" s="1"/>
      <c r="H39" s="1"/>
      <c r="I39" s="1"/>
      <c r="J39" s="1"/>
      <c r="K39" s="1"/>
    </row>
    <row r="40" spans="1:11" ht="12.75" customHeight="1">
      <c r="A40" s="1"/>
      <c r="B40" s="1"/>
      <c r="C40" s="1"/>
      <c r="D40" s="1"/>
      <c r="E40" s="1"/>
      <c r="F40" s="1"/>
      <c r="G40" s="1"/>
      <c r="H40" s="1"/>
      <c r="I40" s="1"/>
      <c r="J40" s="1"/>
      <c r="K40" s="1"/>
    </row>
    <row r="41" spans="1:11" ht="12.75" customHeight="1">
      <c r="A41" s="1"/>
      <c r="B41" s="1"/>
      <c r="C41" s="1"/>
      <c r="D41" s="1"/>
      <c r="E41" s="1"/>
      <c r="F41" s="1"/>
      <c r="G41" s="1"/>
      <c r="H41" s="1"/>
      <c r="I41" s="1"/>
      <c r="J41" s="1"/>
      <c r="K41" s="1"/>
    </row>
    <row r="42" spans="1:11" ht="12.75" customHeight="1">
      <c r="A42" s="1"/>
      <c r="B42" s="1"/>
      <c r="C42" s="1"/>
      <c r="D42" s="1"/>
      <c r="E42" s="1"/>
      <c r="F42" s="1"/>
      <c r="G42" s="1"/>
      <c r="H42" s="1"/>
      <c r="I42" s="1"/>
      <c r="J42" s="1"/>
      <c r="K42" s="1"/>
    </row>
    <row r="43" spans="1:11" ht="12.75" customHeight="1">
      <c r="A43" s="1"/>
      <c r="B43" s="1"/>
      <c r="C43" s="1"/>
      <c r="D43" s="1"/>
      <c r="E43" s="1"/>
      <c r="F43" s="1"/>
      <c r="G43" s="1"/>
      <c r="H43" s="1"/>
      <c r="I43" s="1"/>
      <c r="J43" s="1"/>
      <c r="K43" s="1"/>
    </row>
    <row r="44" spans="1:11" ht="12.75" customHeight="1">
      <c r="A44" s="1"/>
      <c r="B44" s="1"/>
      <c r="C44" s="1"/>
      <c r="D44" s="1"/>
      <c r="E44" s="1"/>
      <c r="F44" s="1"/>
      <c r="G44" s="1"/>
      <c r="H44" s="1"/>
      <c r="I44" s="1"/>
      <c r="J44" s="1"/>
      <c r="K44" s="1"/>
    </row>
    <row r="45" spans="1:11" ht="12.75" customHeight="1">
      <c r="A45" s="1"/>
      <c r="B45" s="1"/>
      <c r="C45" s="1"/>
      <c r="D45" s="1"/>
      <c r="E45" s="1"/>
      <c r="F45" s="1"/>
      <c r="G45" s="1"/>
      <c r="H45" s="1"/>
      <c r="I45" s="1"/>
      <c r="J45" s="1"/>
      <c r="K45" s="1"/>
    </row>
    <row r="46" spans="1:11" ht="12.75" customHeight="1">
      <c r="A46" s="1"/>
      <c r="B46" s="1"/>
      <c r="C46" s="1"/>
      <c r="D46" s="1"/>
      <c r="E46" s="1"/>
      <c r="F46" s="1"/>
      <c r="G46" s="1"/>
      <c r="H46" s="1"/>
      <c r="I46" s="1"/>
      <c r="J46" s="1"/>
      <c r="K46" s="1"/>
    </row>
    <row r="47" spans="1:11" ht="12.75" customHeight="1">
      <c r="A47" s="1"/>
      <c r="B47" s="1"/>
      <c r="C47" s="1"/>
      <c r="D47" s="1"/>
      <c r="E47" s="1"/>
      <c r="F47" s="1"/>
      <c r="G47" s="1"/>
      <c r="H47" s="1"/>
      <c r="I47" s="1"/>
      <c r="J47" s="1"/>
      <c r="K47" s="1"/>
    </row>
    <row r="48" spans="1:11" ht="12.75" customHeight="1">
      <c r="A48" s="1"/>
      <c r="B48" s="1"/>
      <c r="C48" s="1"/>
      <c r="D48" s="1"/>
      <c r="E48" s="1"/>
      <c r="F48" s="1"/>
      <c r="G48" s="1"/>
      <c r="H48" s="1"/>
      <c r="I48" s="1"/>
      <c r="J48" s="1"/>
      <c r="K48" s="1"/>
    </row>
    <row r="49" spans="1:11" ht="12.75" customHeight="1">
      <c r="A49" s="1"/>
      <c r="B49" s="1"/>
      <c r="C49" s="1"/>
      <c r="D49" s="1"/>
      <c r="E49" s="1"/>
      <c r="F49" s="1"/>
      <c r="G49" s="1"/>
      <c r="H49" s="1"/>
      <c r="I49" s="1"/>
      <c r="J49" s="1"/>
      <c r="K49" s="1"/>
    </row>
    <row r="50" spans="1:11" ht="12.75" customHeight="1">
      <c r="A50" s="1"/>
      <c r="B50" s="1"/>
      <c r="C50" s="1"/>
      <c r="D50" s="1"/>
      <c r="E50" s="1"/>
      <c r="F50" s="1"/>
      <c r="G50" s="1"/>
      <c r="H50" s="1"/>
      <c r="I50" s="1"/>
      <c r="J50" s="1"/>
      <c r="K50" s="1"/>
    </row>
    <row r="51" spans="1:11" ht="12.75" customHeight="1">
      <c r="A51" s="1"/>
      <c r="B51" s="1"/>
      <c r="C51" s="1"/>
      <c r="D51" s="1"/>
      <c r="E51" s="1"/>
      <c r="F51" s="1"/>
      <c r="G51" s="1"/>
      <c r="H51" s="1"/>
      <c r="I51" s="1"/>
      <c r="J51" s="1"/>
      <c r="K51" s="1"/>
    </row>
    <row r="52" spans="1:11" ht="12.75" customHeight="1">
      <c r="A52" s="1"/>
      <c r="B52" s="1"/>
      <c r="C52" s="1"/>
      <c r="D52" s="1"/>
      <c r="E52" s="1"/>
      <c r="F52" s="1"/>
      <c r="G52" s="1"/>
      <c r="H52" s="1"/>
      <c r="I52" s="1"/>
      <c r="J52" s="1"/>
      <c r="K52" s="1"/>
    </row>
    <row r="53" spans="1:11" ht="12.75" hidden="1" customHeight="1">
      <c r="A53" s="1"/>
      <c r="B53" s="1"/>
      <c r="C53" s="1"/>
      <c r="D53" s="1"/>
      <c r="E53" s="1"/>
      <c r="F53" s="1"/>
      <c r="G53" s="1"/>
      <c r="H53" s="1"/>
      <c r="I53" s="1"/>
      <c r="J53" s="1"/>
      <c r="K53" s="1"/>
    </row>
    <row r="54" spans="1:11" ht="12.75" hidden="1" customHeight="1">
      <c r="A54" s="1"/>
      <c r="B54" s="1"/>
      <c r="C54" s="1"/>
      <c r="D54" s="1"/>
      <c r="E54" s="1"/>
      <c r="F54" s="1"/>
      <c r="G54" s="1"/>
      <c r="H54" s="1"/>
      <c r="I54" s="1"/>
      <c r="J54" s="1"/>
      <c r="K54" s="1"/>
    </row>
    <row r="55" spans="1:11" ht="12.75" hidden="1" customHeight="1">
      <c r="A55" s="1"/>
      <c r="B55" s="1"/>
      <c r="C55" s="1"/>
      <c r="D55" s="1"/>
      <c r="E55" s="1"/>
      <c r="F55" s="1"/>
      <c r="G55" s="1"/>
      <c r="H55" s="1"/>
      <c r="I55" s="1"/>
      <c r="J55" s="1"/>
      <c r="K55" s="1"/>
    </row>
    <row r="56" spans="1:11" ht="12.75" hidden="1" customHeight="1">
      <c r="A56" s="1"/>
      <c r="B56" s="1"/>
      <c r="C56" s="1"/>
      <c r="D56" s="1"/>
      <c r="E56" s="1"/>
      <c r="F56" s="1"/>
      <c r="G56" s="1"/>
      <c r="H56" s="1"/>
      <c r="I56" s="1"/>
      <c r="J56" s="1"/>
      <c r="K56" s="1"/>
    </row>
    <row r="57" spans="1:11" ht="12.75" hidden="1" customHeight="1">
      <c r="A57" s="1"/>
      <c r="B57" s="1"/>
      <c r="C57" s="1"/>
      <c r="D57" s="1"/>
      <c r="E57" s="1"/>
      <c r="F57" s="1"/>
      <c r="G57" s="1"/>
      <c r="H57" s="1"/>
      <c r="I57" s="1"/>
      <c r="J57" s="1"/>
      <c r="K57" s="1"/>
    </row>
    <row r="58" spans="1:11" ht="12.75" hidden="1" customHeight="1">
      <c r="A58" s="1"/>
      <c r="B58" s="1"/>
      <c r="C58" s="1"/>
      <c r="D58" s="1"/>
      <c r="E58" s="23"/>
      <c r="F58" s="1"/>
      <c r="G58" s="1"/>
      <c r="H58" s="1"/>
      <c r="I58" s="1"/>
      <c r="J58" s="1"/>
      <c r="K58" s="1"/>
    </row>
    <row r="59" spans="1:11" ht="12.75" hidden="1" customHeight="1">
      <c r="A59" s="1"/>
      <c r="B59" s="1"/>
      <c r="C59" s="24"/>
      <c r="D59" s="1"/>
      <c r="E59" s="23"/>
      <c r="F59" s="1"/>
      <c r="G59" s="1"/>
      <c r="H59" s="1"/>
      <c r="I59" s="1"/>
      <c r="J59" s="1"/>
      <c r="K59" s="1"/>
    </row>
    <row r="60" spans="1:11" ht="12.75" hidden="1" customHeight="1">
      <c r="A60" s="1"/>
      <c r="B60" s="76"/>
      <c r="C60" s="77"/>
      <c r="D60" s="1"/>
      <c r="E60" s="23"/>
      <c r="F60" s="1"/>
      <c r="G60" s="1"/>
      <c r="H60" s="1"/>
      <c r="I60" s="1"/>
      <c r="J60" s="1"/>
      <c r="K60" s="1"/>
    </row>
    <row r="61" spans="1:11" ht="12.75" hidden="1" customHeight="1">
      <c r="A61" s="1"/>
      <c r="B61" s="77"/>
      <c r="C61" s="77"/>
      <c r="D61" s="1"/>
      <c r="E61" s="1"/>
      <c r="F61" s="1"/>
      <c r="G61" s="1"/>
      <c r="H61" s="1"/>
      <c r="I61" s="1"/>
      <c r="J61" s="1"/>
      <c r="K61" s="1"/>
    </row>
    <row r="62" spans="1:11" ht="12.75" hidden="1" customHeight="1">
      <c r="A62" s="1"/>
      <c r="B62" s="1"/>
      <c r="C62" s="1"/>
      <c r="D62" s="1"/>
      <c r="E62" s="1"/>
      <c r="F62" s="1"/>
      <c r="G62" s="1"/>
      <c r="H62" s="1"/>
      <c r="I62" s="1"/>
      <c r="J62" s="1"/>
      <c r="K62" s="1"/>
    </row>
    <row r="63" spans="1:11" ht="12.75" customHeight="1">
      <c r="A63" s="1"/>
      <c r="B63" s="1"/>
      <c r="C63" s="1"/>
      <c r="D63" s="1"/>
      <c r="E63" s="1"/>
      <c r="F63" s="1"/>
      <c r="G63" s="1"/>
      <c r="H63" s="1"/>
      <c r="I63" s="1"/>
      <c r="J63" s="1"/>
      <c r="K63" s="1"/>
    </row>
    <row r="64" spans="1:11" ht="12.75" customHeight="1">
      <c r="A64" s="1"/>
      <c r="B64" s="1"/>
      <c r="C64" s="1"/>
      <c r="D64" s="1"/>
      <c r="E64" s="1"/>
      <c r="F64" s="1"/>
      <c r="G64" s="1"/>
      <c r="H64" s="1"/>
      <c r="I64" s="1"/>
      <c r="J64" s="1"/>
      <c r="K64" s="1"/>
    </row>
    <row r="65" spans="1:11" ht="12.75" customHeight="1">
      <c r="A65" s="1"/>
      <c r="B65" s="1"/>
      <c r="C65" s="1"/>
      <c r="D65" s="1"/>
      <c r="E65" s="1"/>
      <c r="F65" s="1"/>
      <c r="G65" s="1"/>
      <c r="H65" s="1"/>
      <c r="I65" s="1"/>
      <c r="J65" s="1"/>
      <c r="K65" s="1"/>
    </row>
    <row r="66" spans="1:11" ht="12.75" customHeight="1">
      <c r="A66" s="1"/>
      <c r="B66" s="1"/>
      <c r="C66" s="1"/>
      <c r="D66" s="1"/>
      <c r="E66" s="1"/>
      <c r="F66" s="1"/>
      <c r="G66" s="1"/>
      <c r="H66" s="1"/>
      <c r="I66" s="1"/>
      <c r="J66" s="1"/>
      <c r="K66" s="1"/>
    </row>
    <row r="67" spans="1:11" ht="12.75" customHeight="1">
      <c r="A67" s="1"/>
      <c r="B67" s="1"/>
      <c r="C67" s="1"/>
      <c r="D67" s="1"/>
      <c r="E67" s="1"/>
      <c r="F67" s="1"/>
      <c r="G67" s="1"/>
      <c r="H67" s="1"/>
      <c r="I67" s="1"/>
      <c r="J67" s="1"/>
      <c r="K67" s="1"/>
    </row>
    <row r="68" spans="1:11" ht="12.75" customHeight="1">
      <c r="A68" s="1"/>
      <c r="B68" s="1"/>
      <c r="C68" s="1"/>
      <c r="D68" s="1"/>
      <c r="E68" s="1"/>
      <c r="F68" s="1"/>
      <c r="G68" s="1"/>
      <c r="H68" s="1"/>
      <c r="I68" s="1"/>
      <c r="J68" s="1"/>
      <c r="K68" s="1"/>
    </row>
    <row r="69" spans="1:11" ht="12.75" customHeight="1">
      <c r="A69" s="1"/>
      <c r="B69" s="1"/>
      <c r="C69" s="1"/>
      <c r="D69" s="1"/>
      <c r="E69" s="1"/>
      <c r="F69" s="1"/>
      <c r="G69" s="1"/>
      <c r="H69" s="1"/>
      <c r="I69" s="1"/>
      <c r="J69" s="1"/>
      <c r="K69" s="1"/>
    </row>
    <row r="70" spans="1:11" ht="12.75" customHeight="1">
      <c r="A70" s="1"/>
      <c r="B70" s="1"/>
      <c r="C70" s="1"/>
      <c r="D70" s="1"/>
      <c r="E70" s="1"/>
      <c r="F70" s="1"/>
      <c r="G70" s="1"/>
      <c r="H70" s="1"/>
      <c r="I70" s="1"/>
      <c r="J70" s="1"/>
      <c r="K70" s="1"/>
    </row>
    <row r="71" spans="1:11" ht="12.75" customHeight="1">
      <c r="A71" s="1"/>
      <c r="B71" s="1"/>
      <c r="C71" s="1"/>
      <c r="D71" s="1"/>
      <c r="E71" s="1"/>
      <c r="F71" s="1"/>
      <c r="G71" s="1"/>
      <c r="H71" s="1"/>
      <c r="I71" s="1"/>
      <c r="J71" s="1"/>
      <c r="K71" s="1"/>
    </row>
    <row r="72" spans="1:11" ht="12.75" customHeight="1">
      <c r="A72" s="1"/>
      <c r="B72" s="1"/>
      <c r="C72" s="1"/>
      <c r="D72" s="1"/>
      <c r="E72" s="1"/>
      <c r="F72" s="1"/>
      <c r="G72" s="1"/>
      <c r="H72" s="1"/>
      <c r="I72" s="1"/>
      <c r="J72" s="1"/>
      <c r="K72" s="1"/>
    </row>
    <row r="73" spans="1:11" ht="12.75" customHeight="1">
      <c r="A73" s="1"/>
      <c r="B73" s="1"/>
      <c r="C73" s="1"/>
      <c r="D73" s="1"/>
      <c r="E73" s="1"/>
      <c r="F73" s="1"/>
      <c r="G73" s="1"/>
      <c r="H73" s="1"/>
      <c r="I73" s="1"/>
      <c r="J73" s="1"/>
      <c r="K73" s="1"/>
    </row>
    <row r="74" spans="1:11" ht="12.75" customHeight="1">
      <c r="A74" s="1"/>
      <c r="B74" s="1"/>
      <c r="C74" s="1"/>
      <c r="D74" s="1"/>
      <c r="E74" s="1"/>
      <c r="F74" s="1"/>
      <c r="G74" s="1"/>
      <c r="H74" s="1"/>
      <c r="I74" s="1"/>
      <c r="J74" s="1"/>
      <c r="K74" s="1"/>
    </row>
    <row r="75" spans="1:11" ht="12.75" customHeight="1">
      <c r="A75" s="1"/>
      <c r="B75" s="1"/>
      <c r="C75" s="1"/>
      <c r="D75" s="1"/>
      <c r="E75" s="1"/>
      <c r="F75" s="1"/>
      <c r="G75" s="1"/>
      <c r="H75" s="1"/>
      <c r="I75" s="1"/>
      <c r="J75" s="1"/>
      <c r="K75" s="1"/>
    </row>
    <row r="76" spans="1:11" ht="12.75" customHeight="1">
      <c r="A76" s="1"/>
      <c r="B76" s="1"/>
      <c r="C76" s="1"/>
      <c r="D76" s="1"/>
      <c r="E76" s="1"/>
      <c r="F76" s="1"/>
      <c r="G76" s="1"/>
      <c r="H76" s="1"/>
      <c r="I76" s="1"/>
      <c r="J76" s="1"/>
      <c r="K76" s="1"/>
    </row>
    <row r="77" spans="1:11" ht="12.75" customHeight="1">
      <c r="A77" s="1"/>
      <c r="B77" s="1"/>
      <c r="C77" s="1"/>
      <c r="D77" s="1"/>
      <c r="E77" s="1"/>
      <c r="F77" s="1"/>
      <c r="G77" s="1"/>
      <c r="H77" s="1"/>
      <c r="I77" s="1"/>
      <c r="J77" s="1"/>
      <c r="K77" s="1"/>
    </row>
    <row r="78" spans="1:11" ht="12.75" customHeight="1">
      <c r="A78" s="1"/>
      <c r="B78" s="1"/>
      <c r="C78" s="1"/>
      <c r="D78" s="1"/>
      <c r="E78" s="1"/>
      <c r="F78" s="1"/>
      <c r="G78" s="1"/>
      <c r="H78" s="1"/>
      <c r="I78" s="1"/>
      <c r="J78" s="1"/>
      <c r="K78" s="1"/>
    </row>
    <row r="79" spans="1:11" ht="12.75" customHeight="1">
      <c r="A79" s="1"/>
      <c r="B79" s="1"/>
      <c r="C79" s="1"/>
      <c r="D79" s="1"/>
      <c r="E79" s="1"/>
      <c r="F79" s="1"/>
      <c r="G79" s="1"/>
      <c r="H79" s="1"/>
      <c r="I79" s="1"/>
      <c r="J79" s="1"/>
      <c r="K79" s="1"/>
    </row>
    <row r="80" spans="1:11" ht="12.75" customHeight="1">
      <c r="A80" s="1"/>
      <c r="B80" s="1"/>
      <c r="C80" s="1"/>
      <c r="D80" s="1"/>
      <c r="E80" s="1"/>
      <c r="F80" s="1"/>
      <c r="G80" s="1"/>
      <c r="H80" s="1"/>
      <c r="I80" s="1"/>
      <c r="J80" s="1"/>
      <c r="K80" s="1"/>
    </row>
    <row r="81" spans="1:11" ht="12.75" customHeight="1">
      <c r="A81" s="1"/>
      <c r="B81" s="1"/>
      <c r="C81" s="1"/>
      <c r="D81" s="1"/>
      <c r="E81" s="1"/>
      <c r="F81" s="1"/>
      <c r="G81" s="1"/>
      <c r="H81" s="1"/>
      <c r="I81" s="1"/>
      <c r="J81" s="1"/>
      <c r="K81" s="1"/>
    </row>
    <row r="82" spans="1:11" ht="12.75" customHeight="1">
      <c r="A82" s="1"/>
      <c r="B82" s="1"/>
      <c r="C82" s="1"/>
      <c r="D82" s="1"/>
      <c r="E82" s="1"/>
      <c r="F82" s="1"/>
      <c r="G82" s="1"/>
      <c r="H82" s="1"/>
      <c r="I82" s="1"/>
      <c r="J82" s="1"/>
      <c r="K82" s="1"/>
    </row>
    <row r="83" spans="1:11" ht="12.75" customHeight="1">
      <c r="A83" s="1"/>
      <c r="B83" s="1"/>
      <c r="C83" s="1"/>
      <c r="D83" s="1"/>
      <c r="E83" s="1"/>
      <c r="F83" s="1"/>
      <c r="G83" s="1"/>
      <c r="H83" s="1"/>
      <c r="I83" s="1"/>
      <c r="J83" s="1"/>
      <c r="K83" s="1"/>
    </row>
    <row r="84" spans="1:11" ht="12.75" customHeight="1">
      <c r="A84" s="1"/>
      <c r="B84" s="1"/>
      <c r="C84" s="1"/>
      <c r="D84" s="1"/>
      <c r="E84" s="1"/>
      <c r="F84" s="1"/>
      <c r="G84" s="1"/>
      <c r="H84" s="1"/>
      <c r="I84" s="1"/>
      <c r="J84" s="1"/>
      <c r="K84" s="1"/>
    </row>
    <row r="85" spans="1:11" ht="12.75" customHeight="1">
      <c r="A85" s="1"/>
      <c r="B85" s="1"/>
      <c r="C85" s="1"/>
      <c r="D85" s="1"/>
      <c r="E85" s="1"/>
      <c r="F85" s="1"/>
      <c r="G85" s="1"/>
      <c r="H85" s="1"/>
      <c r="I85" s="1"/>
      <c r="J85" s="1"/>
      <c r="K85" s="1"/>
    </row>
    <row r="86" spans="1:11" ht="12.75" customHeight="1">
      <c r="A86" s="1"/>
      <c r="B86" s="1"/>
      <c r="C86" s="1"/>
      <c r="D86" s="1"/>
      <c r="E86" s="1"/>
      <c r="F86" s="1"/>
      <c r="G86" s="1"/>
      <c r="H86" s="1"/>
      <c r="I86" s="1"/>
      <c r="J86" s="1"/>
      <c r="K86" s="1"/>
    </row>
    <row r="87" spans="1:11" ht="12.75" customHeight="1">
      <c r="A87" s="1"/>
      <c r="B87" s="1"/>
      <c r="C87" s="1"/>
      <c r="D87" s="1"/>
      <c r="E87" s="1"/>
      <c r="F87" s="1"/>
      <c r="G87" s="1"/>
      <c r="H87" s="1"/>
      <c r="I87" s="1"/>
      <c r="J87" s="1"/>
      <c r="K87" s="1"/>
    </row>
    <row r="88" spans="1:11" ht="12.75" customHeight="1">
      <c r="A88" s="1"/>
      <c r="B88" s="1"/>
      <c r="C88" s="1"/>
      <c r="D88" s="1"/>
      <c r="E88" s="1"/>
      <c r="F88" s="1"/>
      <c r="G88" s="1"/>
      <c r="H88" s="1"/>
      <c r="I88" s="1"/>
      <c r="J88" s="1"/>
      <c r="K88" s="1"/>
    </row>
    <row r="89" spans="1:11" ht="12.75" customHeight="1">
      <c r="A89" s="1"/>
      <c r="B89" s="1"/>
      <c r="C89" s="1"/>
      <c r="D89" s="1"/>
      <c r="E89" s="1"/>
      <c r="F89" s="1"/>
      <c r="G89" s="1"/>
      <c r="H89" s="1"/>
      <c r="I89" s="1"/>
      <c r="J89" s="1"/>
      <c r="K89" s="1"/>
    </row>
    <row r="90" spans="1:11" ht="12.75" customHeight="1">
      <c r="A90" s="1"/>
      <c r="B90" s="1"/>
      <c r="C90" s="1"/>
      <c r="D90" s="1"/>
      <c r="E90" s="1"/>
      <c r="F90" s="1"/>
      <c r="G90" s="1"/>
      <c r="H90" s="1"/>
      <c r="I90" s="1"/>
      <c r="J90" s="1"/>
      <c r="K90" s="1"/>
    </row>
    <row r="91" spans="1:11" ht="12.75" customHeight="1">
      <c r="A91" s="1"/>
      <c r="B91" s="1"/>
      <c r="C91" s="1"/>
      <c r="D91" s="1"/>
      <c r="E91" s="1"/>
      <c r="F91" s="1"/>
      <c r="G91" s="1"/>
      <c r="H91" s="1"/>
      <c r="I91" s="1"/>
      <c r="J91" s="1"/>
      <c r="K91" s="1"/>
    </row>
    <row r="92" spans="1:11" ht="12.75" customHeight="1">
      <c r="A92" s="1"/>
      <c r="B92" s="1"/>
      <c r="C92" s="1"/>
      <c r="D92" s="1"/>
      <c r="E92" s="1"/>
      <c r="F92" s="1"/>
      <c r="G92" s="1"/>
      <c r="H92" s="1"/>
      <c r="I92" s="1"/>
      <c r="J92" s="1"/>
      <c r="K92" s="1"/>
    </row>
    <row r="93" spans="1:11" ht="12.75" customHeight="1">
      <c r="A93" s="1"/>
      <c r="B93" s="1"/>
      <c r="C93" s="1"/>
      <c r="D93" s="1"/>
      <c r="E93" s="1"/>
      <c r="F93" s="1"/>
      <c r="G93" s="1"/>
      <c r="H93" s="1"/>
      <c r="I93" s="1"/>
      <c r="J93" s="1"/>
      <c r="K93" s="1"/>
    </row>
    <row r="94" spans="1:11" ht="12.75" customHeight="1">
      <c r="A94" s="1"/>
      <c r="B94" s="1"/>
      <c r="C94" s="1"/>
      <c r="D94" s="1"/>
      <c r="E94" s="1"/>
      <c r="F94" s="1"/>
      <c r="G94" s="1"/>
      <c r="H94" s="1"/>
      <c r="I94" s="1"/>
      <c r="J94" s="1"/>
      <c r="K94" s="1"/>
    </row>
    <row r="95" spans="1:11" ht="12.75" customHeight="1">
      <c r="A95" s="1"/>
      <c r="B95" s="1"/>
      <c r="C95" s="1"/>
      <c r="D95" s="1"/>
      <c r="E95" s="1"/>
      <c r="F95" s="1"/>
      <c r="G95" s="1"/>
      <c r="H95" s="1"/>
      <c r="I95" s="1"/>
      <c r="J95" s="1"/>
      <c r="K95" s="1"/>
    </row>
    <row r="96" spans="1:11" ht="12.75" customHeight="1">
      <c r="A96" s="1"/>
      <c r="B96" s="1"/>
      <c r="C96" s="1"/>
      <c r="D96" s="1"/>
      <c r="E96" s="1"/>
      <c r="F96" s="1"/>
      <c r="G96" s="1"/>
      <c r="H96" s="1"/>
      <c r="I96" s="1"/>
      <c r="J96" s="1"/>
      <c r="K96" s="1"/>
    </row>
    <row r="97" spans="1:11" ht="12.75" customHeight="1">
      <c r="A97" s="1"/>
      <c r="B97" s="1"/>
      <c r="C97" s="1"/>
      <c r="D97" s="1"/>
      <c r="E97" s="1"/>
      <c r="F97" s="1"/>
      <c r="G97" s="1"/>
      <c r="H97" s="1"/>
      <c r="I97" s="1"/>
      <c r="J97" s="1"/>
      <c r="K97" s="1"/>
    </row>
    <row r="98" spans="1:11" ht="12.75" customHeight="1">
      <c r="A98" s="1"/>
      <c r="B98" s="1"/>
      <c r="C98" s="1"/>
      <c r="D98" s="1"/>
      <c r="E98" s="1"/>
      <c r="F98" s="1"/>
      <c r="G98" s="1"/>
      <c r="H98" s="1"/>
      <c r="I98" s="1"/>
      <c r="J98" s="1"/>
      <c r="K98" s="1"/>
    </row>
    <row r="99" spans="1:11" ht="12.75" customHeight="1">
      <c r="A99" s="1"/>
      <c r="B99" s="1"/>
      <c r="C99" s="1"/>
      <c r="D99" s="1"/>
      <c r="E99" s="1"/>
      <c r="F99" s="1"/>
      <c r="G99" s="1"/>
      <c r="H99" s="1"/>
      <c r="I99" s="1"/>
      <c r="J99" s="1"/>
      <c r="K99" s="1"/>
    </row>
    <row r="100" spans="1:11" ht="12.75" customHeight="1">
      <c r="A100" s="1"/>
      <c r="B100" s="1"/>
      <c r="C100" s="1"/>
      <c r="D100" s="1"/>
      <c r="E100" s="1"/>
      <c r="F100" s="1"/>
      <c r="G100" s="1"/>
      <c r="H100" s="1"/>
      <c r="I100" s="1"/>
      <c r="J100" s="1"/>
      <c r="K100" s="1"/>
    </row>
  </sheetData>
  <mergeCells count="52">
    <mergeCell ref="I22:I24"/>
    <mergeCell ref="D21:E21"/>
    <mergeCell ref="B14:C16"/>
    <mergeCell ref="A14:A16"/>
    <mergeCell ref="D32:I32"/>
    <mergeCell ref="A25:C25"/>
    <mergeCell ref="D25:E25"/>
    <mergeCell ref="A26:A28"/>
    <mergeCell ref="G26:G28"/>
    <mergeCell ref="H26:H28"/>
    <mergeCell ref="I26:I28"/>
    <mergeCell ref="D29:E29"/>
    <mergeCell ref="A30:C30"/>
    <mergeCell ref="D30:E30"/>
    <mergeCell ref="A31:C31"/>
    <mergeCell ref="D31:E31"/>
    <mergeCell ref="A22:A24"/>
    <mergeCell ref="A21:C21"/>
    <mergeCell ref="B60:C61"/>
    <mergeCell ref="A32:C32"/>
    <mergeCell ref="B26:C28"/>
    <mergeCell ref="A29:C29"/>
    <mergeCell ref="F26:F28"/>
    <mergeCell ref="F22:F24"/>
    <mergeCell ref="G22:G24"/>
    <mergeCell ref="H22:H24"/>
    <mergeCell ref="B22:C24"/>
    <mergeCell ref="D13:E13"/>
    <mergeCell ref="A10:I10"/>
    <mergeCell ref="A4:I4"/>
    <mergeCell ref="A5:B5"/>
    <mergeCell ref="C5:I5"/>
    <mergeCell ref="A6:I6"/>
    <mergeCell ref="A7:I7"/>
    <mergeCell ref="A8:I8"/>
    <mergeCell ref="A9:I9"/>
    <mergeCell ref="D17:E17"/>
    <mergeCell ref="I18:I20"/>
    <mergeCell ref="A11:I11"/>
    <mergeCell ref="A12:C12"/>
    <mergeCell ref="D12:I12"/>
    <mergeCell ref="A13:C13"/>
    <mergeCell ref="F14:F16"/>
    <mergeCell ref="I14:I16"/>
    <mergeCell ref="G14:G16"/>
    <mergeCell ref="H14:H16"/>
    <mergeCell ref="F18:F20"/>
    <mergeCell ref="G18:G20"/>
    <mergeCell ref="H18:H20"/>
    <mergeCell ref="A17:C17"/>
    <mergeCell ref="A18:A20"/>
    <mergeCell ref="B18:C20"/>
  </mergeCells>
  <conditionalFormatting sqref="J17">
    <cfRule type="expression" dxfId="31" priority="1">
      <formula>"X"</formula>
    </cfRule>
  </conditionalFormatting>
  <conditionalFormatting sqref="J21">
    <cfRule type="expression" dxfId="30" priority="2">
      <formula>"X"</formula>
    </cfRule>
  </conditionalFormatting>
  <conditionalFormatting sqref="J25">
    <cfRule type="expression" dxfId="29" priority="3">
      <formula>"X"</formula>
    </cfRule>
  </conditionalFormatting>
  <conditionalFormatting sqref="J29">
    <cfRule type="expression" dxfId="28" priority="4">
      <formula>"X"</formula>
    </cfRule>
  </conditionalFormatting>
  <pageMargins left="0.196527777777778" right="0" top="0" bottom="0" header="0" footer="0"/>
  <pageSetup paperSize="9" scale="83"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
  <sheetViews>
    <sheetView showGridLines="0" topLeftCell="A28" workbookViewId="0">
      <selection activeCell="A7" sqref="A7:I7"/>
    </sheetView>
  </sheetViews>
  <sheetFormatPr defaultColWidth="14.36328125" defaultRowHeight="15" customHeight="1"/>
  <cols>
    <col min="1" max="1" width="7.36328125" customWidth="1"/>
    <col min="2" max="2" width="13" customWidth="1"/>
    <col min="3" max="3" width="8.7265625" customWidth="1"/>
    <col min="4" max="4" width="3" customWidth="1"/>
    <col min="5" max="5" width="33.1796875" customWidth="1"/>
    <col min="6" max="6" width="14.26953125" customWidth="1"/>
    <col min="7" max="7" width="14.36328125" customWidth="1"/>
    <col min="8" max="9" width="13.453125" customWidth="1"/>
    <col min="10" max="10" width="6.81640625" customWidth="1"/>
    <col min="11" max="11" width="9.1796875" hidden="1" customWidth="1"/>
  </cols>
  <sheetData>
    <row r="1" spans="1:11" ht="12.75" customHeight="1">
      <c r="A1" s="26"/>
      <c r="B1" s="26"/>
      <c r="C1" s="1"/>
      <c r="D1" s="1"/>
      <c r="E1" s="1"/>
      <c r="F1" s="1"/>
      <c r="G1" s="1"/>
      <c r="H1" s="1"/>
      <c r="I1" s="1"/>
      <c r="J1" s="27"/>
      <c r="K1" s="1"/>
    </row>
    <row r="2" spans="1:11" ht="12.75" customHeight="1">
      <c r="A2" s="26"/>
      <c r="B2" s="6" t="s">
        <v>7</v>
      </c>
      <c r="C2" s="1" t="s">
        <v>8</v>
      </c>
      <c r="D2" s="1"/>
      <c r="E2" s="1"/>
      <c r="F2" s="1"/>
      <c r="G2" s="1"/>
      <c r="H2" s="1"/>
      <c r="I2" s="1"/>
      <c r="J2" s="27"/>
      <c r="K2" s="1"/>
    </row>
    <row r="3" spans="1:11" ht="12.75" customHeight="1">
      <c r="A3" s="1"/>
      <c r="B3" s="1"/>
      <c r="C3" s="1"/>
      <c r="D3" s="1"/>
      <c r="E3" s="1"/>
      <c r="F3" s="1"/>
      <c r="G3" s="1"/>
      <c r="H3" s="1"/>
      <c r="I3" s="1"/>
      <c r="J3" s="1"/>
      <c r="K3" s="1"/>
    </row>
    <row r="4" spans="1:11" ht="15.75" customHeight="1">
      <c r="A4" s="56" t="s">
        <v>70</v>
      </c>
      <c r="B4" s="57"/>
      <c r="C4" s="57"/>
      <c r="D4" s="57"/>
      <c r="E4" s="57"/>
      <c r="F4" s="57"/>
      <c r="G4" s="57"/>
      <c r="H4" s="57"/>
      <c r="I4" s="58"/>
      <c r="J4" s="1"/>
      <c r="K4" s="1"/>
    </row>
    <row r="5" spans="1:11" ht="15.75" customHeight="1">
      <c r="A5" s="61" t="s">
        <v>71</v>
      </c>
      <c r="B5" s="62"/>
      <c r="C5" s="63"/>
      <c r="D5" s="51"/>
      <c r="E5" s="51"/>
      <c r="F5" s="51"/>
      <c r="G5" s="51"/>
      <c r="H5" s="51"/>
      <c r="I5" s="52"/>
      <c r="J5" s="1"/>
      <c r="K5" s="1"/>
    </row>
    <row r="6" spans="1:11" ht="12.75" customHeight="1">
      <c r="A6" s="53" t="s">
        <v>13</v>
      </c>
      <c r="B6" s="51"/>
      <c r="C6" s="51"/>
      <c r="D6" s="51"/>
      <c r="E6" s="51"/>
      <c r="F6" s="51"/>
      <c r="G6" s="51"/>
      <c r="H6" s="51"/>
      <c r="I6" s="52"/>
      <c r="J6" s="1"/>
      <c r="K6" s="1"/>
    </row>
    <row r="7" spans="1:11" ht="43.5" customHeight="1">
      <c r="A7" s="50" t="s">
        <v>72</v>
      </c>
      <c r="B7" s="51"/>
      <c r="C7" s="51"/>
      <c r="D7" s="51"/>
      <c r="E7" s="51"/>
      <c r="F7" s="51"/>
      <c r="G7" s="51"/>
      <c r="H7" s="51"/>
      <c r="I7" s="52"/>
      <c r="J7" s="1"/>
      <c r="K7" s="1"/>
    </row>
    <row r="8" spans="1:11" ht="12.75" customHeight="1">
      <c r="A8" s="53" t="s">
        <v>15</v>
      </c>
      <c r="B8" s="51"/>
      <c r="C8" s="51"/>
      <c r="D8" s="51"/>
      <c r="E8" s="51"/>
      <c r="F8" s="51"/>
      <c r="G8" s="51"/>
      <c r="H8" s="51"/>
      <c r="I8" s="52"/>
      <c r="J8" s="1"/>
      <c r="K8" s="1"/>
    </row>
    <row r="9" spans="1:11" ht="24" customHeight="1">
      <c r="A9" s="54" t="s">
        <v>73</v>
      </c>
      <c r="B9" s="51"/>
      <c r="C9" s="51"/>
      <c r="D9" s="51"/>
      <c r="E9" s="51"/>
      <c r="F9" s="51"/>
      <c r="G9" s="51"/>
      <c r="H9" s="51"/>
      <c r="I9" s="52"/>
      <c r="J9" s="1"/>
      <c r="K9" s="1"/>
    </row>
    <row r="10" spans="1:11" ht="12.75" customHeight="1">
      <c r="A10" s="53" t="s">
        <v>17</v>
      </c>
      <c r="B10" s="51"/>
      <c r="C10" s="51"/>
      <c r="D10" s="51"/>
      <c r="E10" s="51"/>
      <c r="F10" s="51"/>
      <c r="G10" s="51"/>
      <c r="H10" s="51"/>
      <c r="I10" s="52"/>
      <c r="J10" s="1"/>
      <c r="K10" s="1"/>
    </row>
    <row r="11" spans="1:11" ht="54.5" customHeight="1">
      <c r="A11" s="50" t="s">
        <v>74</v>
      </c>
      <c r="B11" s="51"/>
      <c r="C11" s="51"/>
      <c r="D11" s="51"/>
      <c r="E11" s="51"/>
      <c r="F11" s="51"/>
      <c r="G11" s="51"/>
      <c r="H11" s="51"/>
      <c r="I11" s="52"/>
      <c r="J11" s="1"/>
      <c r="K11" s="7"/>
    </row>
    <row r="12" spans="1:11" ht="12.75" customHeight="1">
      <c r="A12" s="105" t="s">
        <v>19</v>
      </c>
      <c r="B12" s="51"/>
      <c r="C12" s="62"/>
      <c r="D12" s="106" t="s">
        <v>20</v>
      </c>
      <c r="E12" s="51"/>
      <c r="F12" s="51"/>
      <c r="G12" s="51"/>
      <c r="H12" s="51"/>
      <c r="I12" s="52"/>
      <c r="J12" s="8"/>
      <c r="K12" s="1"/>
    </row>
    <row r="13" spans="1:11" ht="27.75" customHeight="1">
      <c r="A13" s="107" t="s">
        <v>75</v>
      </c>
      <c r="B13" s="51"/>
      <c r="C13" s="62"/>
      <c r="D13" s="108">
        <v>4</v>
      </c>
      <c r="E13" s="109"/>
      <c r="F13" s="9">
        <v>3</v>
      </c>
      <c r="G13" s="9">
        <v>2</v>
      </c>
      <c r="H13" s="9">
        <v>1</v>
      </c>
      <c r="I13" s="10">
        <v>0</v>
      </c>
      <c r="J13" s="8"/>
      <c r="K13" s="1"/>
    </row>
    <row r="14" spans="1:11" ht="32.25" customHeight="1">
      <c r="A14" s="110" t="s">
        <v>22</v>
      </c>
      <c r="B14" s="78" t="s">
        <v>76</v>
      </c>
      <c r="C14" s="79"/>
      <c r="D14" s="11" t="s">
        <v>24</v>
      </c>
      <c r="E14" s="12" t="s">
        <v>77</v>
      </c>
      <c r="F14" s="111" t="s">
        <v>78</v>
      </c>
      <c r="G14" s="103" t="s">
        <v>79</v>
      </c>
      <c r="H14" s="103" t="s">
        <v>80</v>
      </c>
      <c r="I14" s="104" t="s">
        <v>81</v>
      </c>
      <c r="J14" s="13"/>
      <c r="K14" s="1"/>
    </row>
    <row r="15" spans="1:11" ht="28.5" customHeight="1">
      <c r="A15" s="90"/>
      <c r="B15" s="80"/>
      <c r="C15" s="77"/>
      <c r="D15" s="14" t="s">
        <v>30</v>
      </c>
      <c r="E15" s="15" t="s">
        <v>82</v>
      </c>
      <c r="F15" s="101"/>
      <c r="G15" s="65"/>
      <c r="H15" s="65"/>
      <c r="I15" s="68"/>
      <c r="J15" s="13"/>
      <c r="K15" s="1"/>
    </row>
    <row r="16" spans="1:11" ht="28.5" customHeight="1">
      <c r="A16" s="90"/>
      <c r="B16" s="80"/>
      <c r="C16" s="77"/>
      <c r="D16" s="14" t="s">
        <v>32</v>
      </c>
      <c r="E16" s="15" t="s">
        <v>83</v>
      </c>
      <c r="F16" s="101"/>
      <c r="G16" s="65"/>
      <c r="H16" s="65"/>
      <c r="I16" s="68"/>
      <c r="J16" s="13"/>
      <c r="K16" s="1"/>
    </row>
    <row r="17" spans="1:11" ht="23.25" customHeight="1">
      <c r="A17" s="91"/>
      <c r="B17" s="81"/>
      <c r="C17" s="82"/>
      <c r="D17" s="16" t="s">
        <v>84</v>
      </c>
      <c r="E17" s="17" t="s">
        <v>85</v>
      </c>
      <c r="F17" s="102"/>
      <c r="G17" s="66"/>
      <c r="H17" s="66"/>
      <c r="I17" s="69"/>
      <c r="J17" s="13"/>
      <c r="K17" s="1"/>
    </row>
    <row r="18" spans="1:11" ht="13.5" customHeight="1">
      <c r="A18" s="84" t="s">
        <v>34</v>
      </c>
      <c r="B18" s="74"/>
      <c r="C18" s="75"/>
      <c r="D18" s="85"/>
      <c r="E18" s="75"/>
      <c r="F18" s="18"/>
      <c r="G18" s="18"/>
      <c r="H18" s="18"/>
      <c r="I18" s="19"/>
      <c r="J18" s="13">
        <f>IF((D18+F18+G18+H18+I18)&gt;1,"X",IF((D18+F18+G18+H18+I18)=0,0,""))</f>
        <v>0</v>
      </c>
      <c r="K18" s="1"/>
    </row>
    <row r="19" spans="1:11" ht="29.25" customHeight="1">
      <c r="A19" s="89" t="s">
        <v>35</v>
      </c>
      <c r="B19" s="83" t="s">
        <v>86</v>
      </c>
      <c r="C19" s="77"/>
      <c r="D19" s="14" t="s">
        <v>24</v>
      </c>
      <c r="E19" s="15" t="s">
        <v>77</v>
      </c>
      <c r="F19" s="100" t="s">
        <v>78</v>
      </c>
      <c r="G19" s="64" t="s">
        <v>79</v>
      </c>
      <c r="H19" s="64" t="s">
        <v>80</v>
      </c>
      <c r="I19" s="67" t="s">
        <v>81</v>
      </c>
      <c r="J19" s="13"/>
      <c r="K19" s="1"/>
    </row>
    <row r="20" spans="1:11" ht="26" customHeight="1">
      <c r="A20" s="90"/>
      <c r="B20" s="80"/>
      <c r="C20" s="77"/>
      <c r="D20" s="14" t="s">
        <v>30</v>
      </c>
      <c r="E20" s="15" t="s">
        <v>82</v>
      </c>
      <c r="F20" s="101"/>
      <c r="G20" s="65"/>
      <c r="H20" s="65"/>
      <c r="I20" s="68"/>
      <c r="J20" s="13"/>
      <c r="K20" s="1"/>
    </row>
    <row r="21" spans="1:11" ht="20" customHeight="1">
      <c r="A21" s="90"/>
      <c r="B21" s="80"/>
      <c r="C21" s="77"/>
      <c r="D21" s="14" t="s">
        <v>32</v>
      </c>
      <c r="E21" s="15" t="s">
        <v>83</v>
      </c>
      <c r="F21" s="101"/>
      <c r="G21" s="65"/>
      <c r="H21" s="65"/>
      <c r="I21" s="68"/>
      <c r="J21" s="13"/>
      <c r="K21" s="1"/>
    </row>
    <row r="22" spans="1:11" ht="33.75" customHeight="1">
      <c r="A22" s="91"/>
      <c r="B22" s="81"/>
      <c r="C22" s="82"/>
      <c r="D22" s="16" t="s">
        <v>84</v>
      </c>
      <c r="E22" s="17" t="s">
        <v>85</v>
      </c>
      <c r="F22" s="102"/>
      <c r="G22" s="66"/>
      <c r="H22" s="66"/>
      <c r="I22" s="69"/>
      <c r="J22" s="13"/>
      <c r="K22" s="1"/>
    </row>
    <row r="23" spans="1:11" ht="13.5" customHeight="1">
      <c r="A23" s="84" t="s">
        <v>34</v>
      </c>
      <c r="B23" s="74"/>
      <c r="C23" s="75"/>
      <c r="D23" s="85"/>
      <c r="E23" s="75"/>
      <c r="F23" s="18"/>
      <c r="G23" s="18"/>
      <c r="H23" s="18"/>
      <c r="I23" s="19"/>
      <c r="J23" s="13">
        <f>IF((D23+F23+G23+H23+I23)&gt;1,"X",IF((D23+F23+G23+H23+I23)=0,0,""))</f>
        <v>0</v>
      </c>
      <c r="K23" s="1"/>
    </row>
    <row r="24" spans="1:11" ht="17.25" customHeight="1">
      <c r="A24" s="89" t="s">
        <v>37</v>
      </c>
      <c r="B24" s="83" t="s">
        <v>87</v>
      </c>
      <c r="C24" s="77"/>
      <c r="D24" s="14" t="s">
        <v>24</v>
      </c>
      <c r="E24" s="15" t="s">
        <v>77</v>
      </c>
      <c r="F24" s="100" t="s">
        <v>78</v>
      </c>
      <c r="G24" s="64" t="s">
        <v>79</v>
      </c>
      <c r="H24" s="64" t="s">
        <v>80</v>
      </c>
      <c r="I24" s="67" t="s">
        <v>81</v>
      </c>
      <c r="J24" s="13"/>
      <c r="K24" s="1"/>
    </row>
    <row r="25" spans="1:11" ht="21.5" customHeight="1">
      <c r="A25" s="90"/>
      <c r="B25" s="80"/>
      <c r="C25" s="77"/>
      <c r="D25" s="14" t="s">
        <v>30</v>
      </c>
      <c r="E25" s="15" t="s">
        <v>82</v>
      </c>
      <c r="F25" s="101"/>
      <c r="G25" s="65"/>
      <c r="H25" s="65"/>
      <c r="I25" s="68"/>
      <c r="J25" s="13"/>
      <c r="K25" s="1"/>
    </row>
    <row r="26" spans="1:11" ht="18" customHeight="1">
      <c r="A26" s="90"/>
      <c r="B26" s="80"/>
      <c r="C26" s="77"/>
      <c r="D26" s="14" t="s">
        <v>32</v>
      </c>
      <c r="E26" s="15" t="s">
        <v>83</v>
      </c>
      <c r="F26" s="101"/>
      <c r="G26" s="65"/>
      <c r="H26" s="65"/>
      <c r="I26" s="68"/>
      <c r="J26" s="13"/>
      <c r="K26" s="1"/>
    </row>
    <row r="27" spans="1:11" ht="17.5" customHeight="1">
      <c r="A27" s="91"/>
      <c r="B27" s="81"/>
      <c r="C27" s="82"/>
      <c r="D27" s="16" t="s">
        <v>84</v>
      </c>
      <c r="E27" s="17" t="s">
        <v>85</v>
      </c>
      <c r="F27" s="102"/>
      <c r="G27" s="66"/>
      <c r="H27" s="66"/>
      <c r="I27" s="69"/>
      <c r="J27" s="13"/>
      <c r="K27" s="1"/>
    </row>
    <row r="28" spans="1:11" ht="13.5" customHeight="1">
      <c r="A28" s="84" t="s">
        <v>34</v>
      </c>
      <c r="B28" s="74"/>
      <c r="C28" s="75"/>
      <c r="D28" s="85"/>
      <c r="E28" s="75"/>
      <c r="F28" s="18"/>
      <c r="G28" s="18"/>
      <c r="H28" s="18"/>
      <c r="I28" s="19"/>
      <c r="J28" s="13">
        <f>IF((D28+F28+G28+H28+I28)&gt;1,"X",IF((D28+F28+G28+H28+I28)=0,0,""))</f>
        <v>0</v>
      </c>
      <c r="K28" s="1"/>
    </row>
    <row r="29" spans="1:11" ht="28.5" customHeight="1">
      <c r="A29" s="89" t="s">
        <v>66</v>
      </c>
      <c r="B29" s="83" t="s">
        <v>88</v>
      </c>
      <c r="C29" s="77"/>
      <c r="D29" s="14" t="s">
        <v>24</v>
      </c>
      <c r="E29" s="15" t="s">
        <v>77</v>
      </c>
      <c r="F29" s="100" t="s">
        <v>78</v>
      </c>
      <c r="G29" s="64" t="s">
        <v>79</v>
      </c>
      <c r="H29" s="64" t="s">
        <v>80</v>
      </c>
      <c r="I29" s="67" t="s">
        <v>81</v>
      </c>
      <c r="J29" s="13"/>
      <c r="K29" s="1"/>
    </row>
    <row r="30" spans="1:11" ht="28.5" customHeight="1">
      <c r="A30" s="90"/>
      <c r="B30" s="80"/>
      <c r="C30" s="77"/>
      <c r="D30" s="14" t="s">
        <v>30</v>
      </c>
      <c r="E30" s="15" t="s">
        <v>82</v>
      </c>
      <c r="F30" s="101"/>
      <c r="G30" s="65"/>
      <c r="H30" s="65"/>
      <c r="I30" s="68"/>
      <c r="J30" s="13"/>
      <c r="K30" s="1"/>
    </row>
    <row r="31" spans="1:11" ht="24.75" customHeight="1">
      <c r="A31" s="90"/>
      <c r="B31" s="80"/>
      <c r="C31" s="77"/>
      <c r="D31" s="14" t="s">
        <v>32</v>
      </c>
      <c r="E31" s="15" t="s">
        <v>83</v>
      </c>
      <c r="F31" s="101"/>
      <c r="G31" s="65"/>
      <c r="H31" s="65"/>
      <c r="I31" s="68"/>
      <c r="J31" s="13"/>
      <c r="K31" s="1"/>
    </row>
    <row r="32" spans="1:11" ht="13.5" customHeight="1">
      <c r="A32" s="91"/>
      <c r="B32" s="81"/>
      <c r="C32" s="82"/>
      <c r="D32" s="16" t="s">
        <v>84</v>
      </c>
      <c r="E32" s="17" t="s">
        <v>85</v>
      </c>
      <c r="F32" s="102"/>
      <c r="G32" s="66"/>
      <c r="H32" s="66"/>
      <c r="I32" s="69"/>
      <c r="J32" s="13"/>
      <c r="K32" s="1"/>
    </row>
    <row r="33" spans="1:11" ht="13.5" customHeight="1">
      <c r="A33" s="84" t="s">
        <v>34</v>
      </c>
      <c r="B33" s="74"/>
      <c r="C33" s="75"/>
      <c r="D33" s="85"/>
      <c r="E33" s="75"/>
      <c r="F33" s="18"/>
      <c r="G33" s="18"/>
      <c r="H33" s="18"/>
      <c r="I33" s="19"/>
      <c r="J33" s="13">
        <f>IF((D33+F33+G33+H33+I33)&gt;1,"X",IF((D33+F33+G33+H33+I33)=0,0,""))</f>
        <v>0</v>
      </c>
      <c r="K33" s="1"/>
    </row>
    <row r="34" spans="1:11" ht="38.25" customHeight="1">
      <c r="A34" s="89" t="s">
        <v>89</v>
      </c>
      <c r="B34" s="83" t="s">
        <v>90</v>
      </c>
      <c r="C34" s="77"/>
      <c r="D34" s="14" t="s">
        <v>24</v>
      </c>
      <c r="E34" s="15" t="s">
        <v>77</v>
      </c>
      <c r="F34" s="100" t="s">
        <v>78</v>
      </c>
      <c r="G34" s="64" t="s">
        <v>79</v>
      </c>
      <c r="H34" s="64" t="s">
        <v>80</v>
      </c>
      <c r="I34" s="67" t="s">
        <v>81</v>
      </c>
      <c r="J34" s="13"/>
      <c r="K34" s="1"/>
    </row>
    <row r="35" spans="1:11" ht="23.5" customHeight="1">
      <c r="A35" s="90"/>
      <c r="B35" s="80"/>
      <c r="C35" s="77"/>
      <c r="D35" s="14" t="s">
        <v>30</v>
      </c>
      <c r="E35" s="15" t="s">
        <v>82</v>
      </c>
      <c r="F35" s="101"/>
      <c r="G35" s="65"/>
      <c r="H35" s="65"/>
      <c r="I35" s="68"/>
      <c r="J35" s="13"/>
      <c r="K35" s="1"/>
    </row>
    <row r="36" spans="1:11" ht="24.5" customHeight="1">
      <c r="A36" s="90"/>
      <c r="B36" s="80"/>
      <c r="C36" s="77"/>
      <c r="D36" s="14" t="s">
        <v>32</v>
      </c>
      <c r="E36" s="15" t="s">
        <v>83</v>
      </c>
      <c r="F36" s="101"/>
      <c r="G36" s="65"/>
      <c r="H36" s="65"/>
      <c r="I36" s="68"/>
      <c r="J36" s="13"/>
      <c r="K36" s="1"/>
    </row>
    <row r="37" spans="1:11" ht="18" customHeight="1">
      <c r="A37" s="91"/>
      <c r="B37" s="81"/>
      <c r="C37" s="82"/>
      <c r="D37" s="16" t="s">
        <v>84</v>
      </c>
      <c r="E37" s="17" t="s">
        <v>85</v>
      </c>
      <c r="F37" s="102"/>
      <c r="G37" s="66"/>
      <c r="H37" s="66"/>
      <c r="I37" s="69"/>
      <c r="J37" s="13"/>
      <c r="K37" s="1"/>
    </row>
    <row r="38" spans="1:11" ht="13.5" customHeight="1">
      <c r="A38" s="84" t="s">
        <v>34</v>
      </c>
      <c r="B38" s="74"/>
      <c r="C38" s="75"/>
      <c r="D38" s="85"/>
      <c r="E38" s="75"/>
      <c r="F38" s="18"/>
      <c r="G38" s="18"/>
      <c r="H38" s="18"/>
      <c r="I38" s="19"/>
      <c r="J38" s="13">
        <f>IF((D38+F38+G38+H38+I38)&gt;1,"X",IF((D38+F38+G38+H38+I38)=0,0,""))</f>
        <v>0</v>
      </c>
      <c r="K38" s="1"/>
    </row>
    <row r="39" spans="1:11" ht="16.5" customHeight="1">
      <c r="A39" s="112" t="s">
        <v>91</v>
      </c>
      <c r="B39" s="113"/>
      <c r="C39" s="114"/>
      <c r="D39" s="115">
        <f>IF(SUM(D18+D23+D28+D33+D38)="","",(SUM(D18+D23+D28+D33+D38)))</f>
        <v>0</v>
      </c>
      <c r="E39" s="114"/>
      <c r="F39" s="28">
        <f t="shared" ref="F39:G39" si="0">IF(SUM(F18+F23++F28+F33+F38)="","",(SUM(F18+F23++F28+F33+F38)))</f>
        <v>0</v>
      </c>
      <c r="G39" s="28">
        <f t="shared" si="0"/>
        <v>0</v>
      </c>
      <c r="H39" s="28">
        <f t="shared" ref="H39:I39" si="1">IF(SUM(H18+H23+H28+H33+H38)="","",(SUM(H18+H23+H28+H33+H38)))</f>
        <v>0</v>
      </c>
      <c r="I39" s="29">
        <f t="shared" si="1"/>
        <v>0</v>
      </c>
      <c r="J39" s="1"/>
      <c r="K39" s="1"/>
    </row>
    <row r="40" spans="1:11" ht="16.5" customHeight="1">
      <c r="A40" s="112" t="s">
        <v>40</v>
      </c>
      <c r="B40" s="113"/>
      <c r="C40" s="114"/>
      <c r="D40" s="115">
        <f>IF((D39)="","",(D39)*D13)</f>
        <v>0</v>
      </c>
      <c r="E40" s="114"/>
      <c r="F40" s="28">
        <f t="shared" ref="F40:H40" si="2">IF((F39)="","",(F39)*F13)</f>
        <v>0</v>
      </c>
      <c r="G40" s="28">
        <f t="shared" si="2"/>
        <v>0</v>
      </c>
      <c r="H40" s="28">
        <f t="shared" si="2"/>
        <v>0</v>
      </c>
      <c r="I40" s="29">
        <f>IF((I39)="","",(I39)*I20)</f>
        <v>0</v>
      </c>
      <c r="J40" s="1"/>
      <c r="K40" s="1"/>
    </row>
    <row r="41" spans="1:11" ht="16.5" customHeight="1">
      <c r="A41" s="86" t="s">
        <v>92</v>
      </c>
      <c r="B41" s="71"/>
      <c r="C41" s="87"/>
      <c r="D41" s="70">
        <f>IF(J41="X","X",SUM(D40:I40))</f>
        <v>0</v>
      </c>
      <c r="E41" s="71"/>
      <c r="F41" s="71"/>
      <c r="G41" s="71"/>
      <c r="H41" s="71"/>
      <c r="I41" s="72"/>
      <c r="J41" s="22">
        <f>IF(OR(J38="X",J33="X",J28="X",J23="X",J18="X"),"X",1)</f>
        <v>1</v>
      </c>
      <c r="K41" s="1"/>
    </row>
    <row r="42" spans="1:11" ht="12.75" customHeight="1">
      <c r="A42" s="1"/>
      <c r="B42" s="1"/>
      <c r="C42" s="1"/>
      <c r="D42" s="1"/>
      <c r="E42" s="1"/>
      <c r="F42" s="1"/>
      <c r="G42" s="1"/>
      <c r="H42" s="1"/>
      <c r="I42" s="1"/>
      <c r="J42" s="1"/>
      <c r="K42" s="1"/>
    </row>
    <row r="43" spans="1:11" ht="12.75" customHeight="1">
      <c r="A43" s="1"/>
      <c r="B43" s="1"/>
      <c r="C43" s="1"/>
      <c r="D43" s="1"/>
      <c r="E43" s="1"/>
      <c r="F43" s="1"/>
      <c r="G43" s="1"/>
      <c r="H43" s="1"/>
      <c r="I43" s="1"/>
      <c r="J43" s="1"/>
      <c r="K43" s="1"/>
    </row>
    <row r="44" spans="1:11" ht="12.75" customHeight="1">
      <c r="A44" s="1"/>
      <c r="B44" s="1"/>
      <c r="C44" s="1"/>
      <c r="D44" s="1"/>
      <c r="E44" s="1"/>
      <c r="F44" s="1"/>
      <c r="G44" s="1"/>
      <c r="H44" s="1"/>
      <c r="I44" s="1"/>
      <c r="J44" s="1"/>
      <c r="K44" s="1"/>
    </row>
    <row r="45" spans="1:11" ht="12.75" customHeight="1">
      <c r="A45" s="1"/>
      <c r="B45" s="1"/>
      <c r="C45" s="1"/>
      <c r="D45" s="1"/>
      <c r="E45" s="1"/>
      <c r="F45" s="1"/>
      <c r="G45" s="1"/>
      <c r="H45" s="1"/>
      <c r="I45" s="1"/>
      <c r="J45" s="1"/>
      <c r="K45" s="1"/>
    </row>
    <row r="46" spans="1:11" ht="12.75" customHeight="1">
      <c r="A46" s="1"/>
      <c r="B46" s="1"/>
      <c r="C46" s="1"/>
      <c r="D46" s="1"/>
      <c r="E46" s="1"/>
      <c r="F46" s="1"/>
      <c r="G46" s="1"/>
      <c r="H46" s="1"/>
      <c r="I46" s="1"/>
      <c r="J46" s="1"/>
      <c r="K46" s="1"/>
    </row>
    <row r="47" spans="1:11" ht="12.75" customHeight="1">
      <c r="A47" s="1"/>
      <c r="B47" s="1"/>
      <c r="C47" s="1"/>
      <c r="D47" s="1"/>
      <c r="E47" s="1"/>
      <c r="F47" s="1"/>
      <c r="G47" s="1"/>
      <c r="H47" s="1"/>
      <c r="I47" s="1"/>
      <c r="J47" s="1"/>
      <c r="K47" s="1"/>
    </row>
    <row r="48" spans="1:11" ht="12.75" customHeight="1">
      <c r="A48" s="1"/>
      <c r="B48" s="1"/>
      <c r="C48" s="1"/>
      <c r="D48" s="1"/>
      <c r="E48" s="1"/>
      <c r="F48" s="1"/>
      <c r="G48" s="1"/>
      <c r="H48" s="1"/>
      <c r="I48" s="1"/>
      <c r="J48" s="1"/>
      <c r="K48" s="1"/>
    </row>
    <row r="49" spans="1:11" ht="12.75" customHeight="1">
      <c r="A49" s="1"/>
      <c r="B49" s="1"/>
      <c r="C49" s="1"/>
      <c r="D49" s="1"/>
      <c r="E49" s="1"/>
      <c r="F49" s="1"/>
      <c r="G49" s="1"/>
      <c r="H49" s="1"/>
      <c r="I49" s="1"/>
      <c r="J49" s="1"/>
      <c r="K49" s="1"/>
    </row>
    <row r="50" spans="1:11" ht="12.75" customHeight="1">
      <c r="A50" s="1"/>
      <c r="B50" s="1"/>
      <c r="C50" s="1"/>
      <c r="D50" s="1"/>
      <c r="E50" s="1"/>
      <c r="F50" s="1"/>
      <c r="G50" s="1"/>
      <c r="H50" s="1"/>
      <c r="I50" s="1"/>
      <c r="J50" s="1"/>
      <c r="K50" s="1"/>
    </row>
    <row r="51" spans="1:11" ht="12.75" customHeight="1">
      <c r="A51" s="1"/>
      <c r="B51" s="1"/>
      <c r="C51" s="1"/>
      <c r="D51" s="1"/>
      <c r="E51" s="1"/>
      <c r="F51" s="1"/>
      <c r="G51" s="1"/>
      <c r="H51" s="1"/>
      <c r="I51" s="1"/>
      <c r="J51" s="1"/>
      <c r="K51" s="1"/>
    </row>
    <row r="52" spans="1:11" ht="12.75" customHeight="1">
      <c r="A52" s="1"/>
      <c r="B52" s="1"/>
      <c r="C52" s="1"/>
      <c r="D52" s="1"/>
      <c r="E52" s="1"/>
      <c r="F52" s="1"/>
      <c r="G52" s="1"/>
      <c r="H52" s="1"/>
      <c r="I52" s="1"/>
      <c r="J52" s="1"/>
      <c r="K52" s="1"/>
    </row>
    <row r="53" spans="1:11" ht="12.75" customHeight="1">
      <c r="A53" s="1"/>
      <c r="B53" s="1"/>
      <c r="C53" s="1"/>
      <c r="D53" s="1"/>
      <c r="E53" s="1"/>
      <c r="F53" s="1"/>
      <c r="G53" s="1"/>
      <c r="H53" s="1"/>
      <c r="I53" s="1"/>
      <c r="J53" s="1"/>
      <c r="K53" s="1"/>
    </row>
    <row r="54" spans="1:11" ht="12.75" customHeight="1">
      <c r="A54" s="1"/>
      <c r="B54" s="1"/>
      <c r="C54" s="1"/>
      <c r="D54" s="1"/>
      <c r="E54" s="1"/>
      <c r="F54" s="1"/>
      <c r="G54" s="1"/>
      <c r="H54" s="1"/>
      <c r="I54" s="1"/>
      <c r="J54" s="1"/>
      <c r="K54" s="1"/>
    </row>
    <row r="55" spans="1:11" ht="12.75" customHeight="1">
      <c r="A55" s="1"/>
      <c r="B55" s="1"/>
      <c r="C55" s="1"/>
      <c r="D55" s="1"/>
      <c r="E55" s="1"/>
      <c r="F55" s="1"/>
      <c r="G55" s="1"/>
      <c r="H55" s="1"/>
      <c r="I55" s="1"/>
      <c r="J55" s="1"/>
      <c r="K55" s="1"/>
    </row>
    <row r="56" spans="1:11" ht="12.75" customHeight="1">
      <c r="A56" s="1"/>
      <c r="B56" s="1"/>
      <c r="C56" s="1"/>
      <c r="D56" s="1"/>
      <c r="E56" s="1"/>
      <c r="F56" s="1"/>
      <c r="G56" s="1"/>
      <c r="H56" s="1"/>
      <c r="I56" s="1"/>
      <c r="J56" s="1"/>
      <c r="K56" s="1"/>
    </row>
    <row r="57" spans="1:11" ht="12.75" customHeight="1">
      <c r="A57" s="1"/>
      <c r="B57" s="1"/>
      <c r="C57" s="1"/>
      <c r="D57" s="1"/>
      <c r="E57" s="1"/>
      <c r="F57" s="1"/>
      <c r="G57" s="1"/>
      <c r="H57" s="1"/>
      <c r="I57" s="1"/>
      <c r="J57" s="1"/>
      <c r="K57" s="1"/>
    </row>
    <row r="58" spans="1:11" ht="12.75" customHeight="1">
      <c r="A58" s="1"/>
      <c r="B58" s="1"/>
      <c r="C58" s="1"/>
      <c r="D58" s="1"/>
      <c r="E58" s="1"/>
      <c r="F58" s="1"/>
      <c r="G58" s="1"/>
      <c r="H58" s="1"/>
      <c r="I58" s="1"/>
      <c r="J58" s="1"/>
      <c r="K58" s="1"/>
    </row>
    <row r="59" spans="1:11" ht="12.75" customHeight="1">
      <c r="A59" s="1"/>
      <c r="B59" s="1"/>
      <c r="C59" s="1"/>
      <c r="D59" s="1"/>
      <c r="E59" s="1"/>
      <c r="F59" s="1"/>
      <c r="G59" s="1"/>
      <c r="H59" s="1"/>
      <c r="I59" s="1"/>
      <c r="J59" s="1"/>
      <c r="K59" s="1"/>
    </row>
    <row r="60" spans="1:11" ht="12.75" customHeight="1">
      <c r="A60" s="1"/>
      <c r="B60" s="1"/>
      <c r="C60" s="1"/>
      <c r="D60" s="1"/>
      <c r="E60" s="1"/>
      <c r="F60" s="1"/>
      <c r="G60" s="1"/>
      <c r="H60" s="1"/>
      <c r="I60" s="1"/>
      <c r="J60" s="1"/>
      <c r="K60" s="1"/>
    </row>
    <row r="61" spans="1:11" ht="12.75" customHeight="1">
      <c r="A61" s="1"/>
      <c r="B61" s="1"/>
      <c r="C61" s="1"/>
      <c r="D61" s="1"/>
      <c r="E61" s="1"/>
      <c r="F61" s="1"/>
      <c r="G61" s="1"/>
      <c r="H61" s="1"/>
      <c r="I61" s="1"/>
      <c r="J61" s="1"/>
      <c r="K61" s="1"/>
    </row>
    <row r="62" spans="1:11" ht="12.75" hidden="1" customHeight="1">
      <c r="A62" s="1"/>
      <c r="B62" s="1"/>
      <c r="C62" s="1"/>
      <c r="D62" s="1"/>
      <c r="E62" s="1"/>
      <c r="F62" s="1"/>
      <c r="G62" s="1"/>
      <c r="H62" s="1"/>
      <c r="I62" s="1"/>
      <c r="J62" s="1"/>
      <c r="K62" s="1"/>
    </row>
    <row r="63" spans="1:11" ht="12.75" hidden="1" customHeight="1">
      <c r="A63" s="1"/>
      <c r="B63" s="1"/>
      <c r="C63" s="1"/>
      <c r="D63" s="1"/>
      <c r="E63" s="1"/>
      <c r="F63" s="1"/>
      <c r="G63" s="1"/>
      <c r="H63" s="1"/>
      <c r="I63" s="1"/>
      <c r="J63" s="1"/>
      <c r="K63" s="1"/>
    </row>
    <row r="64" spans="1:11" ht="12.75" hidden="1" customHeight="1">
      <c r="A64" s="1"/>
      <c r="B64" s="1"/>
      <c r="C64" s="1"/>
      <c r="D64" s="1"/>
      <c r="E64" s="1"/>
      <c r="F64" s="1"/>
      <c r="G64" s="1"/>
      <c r="H64" s="1"/>
      <c r="I64" s="1"/>
      <c r="J64" s="1"/>
      <c r="K64" s="1"/>
    </row>
    <row r="65" spans="1:11" ht="12.75" hidden="1" customHeight="1">
      <c r="A65" s="1"/>
      <c r="B65" s="1"/>
      <c r="C65" s="1"/>
      <c r="D65" s="1"/>
      <c r="E65" s="1"/>
      <c r="F65" s="1"/>
      <c r="G65" s="1"/>
      <c r="H65" s="1"/>
      <c r="I65" s="1"/>
      <c r="J65" s="1"/>
      <c r="K65" s="1"/>
    </row>
    <row r="66" spans="1:11" ht="12.75" hidden="1" customHeight="1">
      <c r="A66" s="1"/>
      <c r="B66" s="1"/>
      <c r="C66" s="1"/>
      <c r="D66" s="1"/>
      <c r="E66" s="1"/>
      <c r="F66" s="1"/>
      <c r="G66" s="1"/>
      <c r="H66" s="1"/>
      <c r="I66" s="1"/>
      <c r="J66" s="1"/>
      <c r="K66" s="1"/>
    </row>
    <row r="67" spans="1:11" ht="12.75" hidden="1" customHeight="1">
      <c r="A67" s="1"/>
      <c r="B67" s="1"/>
      <c r="C67" s="1"/>
      <c r="D67" s="1"/>
      <c r="E67" s="1"/>
      <c r="F67" s="1"/>
      <c r="G67" s="1"/>
      <c r="H67" s="1"/>
      <c r="I67" s="1"/>
      <c r="J67" s="1"/>
      <c r="K67" s="1"/>
    </row>
    <row r="68" spans="1:11" ht="12.75" hidden="1" customHeight="1">
      <c r="A68" s="1"/>
      <c r="B68" s="1"/>
      <c r="C68" s="1"/>
      <c r="D68" s="1"/>
      <c r="E68" s="1"/>
      <c r="F68" s="1"/>
      <c r="G68" s="1"/>
      <c r="H68" s="1"/>
      <c r="I68" s="1"/>
      <c r="J68" s="1"/>
      <c r="K68" s="1"/>
    </row>
    <row r="69" spans="1:11" ht="12.75" hidden="1" customHeight="1">
      <c r="A69" s="1"/>
      <c r="B69" s="1"/>
      <c r="C69" s="1"/>
      <c r="D69" s="1"/>
      <c r="E69" s="1"/>
      <c r="F69" s="1"/>
      <c r="G69" s="1"/>
      <c r="H69" s="1"/>
      <c r="I69" s="1"/>
      <c r="J69" s="1"/>
      <c r="K69" s="1"/>
    </row>
    <row r="70" spans="1:11" ht="12.75" hidden="1" customHeight="1">
      <c r="A70" s="1"/>
      <c r="B70" s="1"/>
      <c r="C70" s="1"/>
      <c r="D70" s="1"/>
      <c r="E70" s="1"/>
      <c r="F70" s="1"/>
      <c r="G70" s="1"/>
      <c r="H70" s="1"/>
      <c r="I70" s="1"/>
      <c r="J70" s="1"/>
      <c r="K70" s="1"/>
    </row>
    <row r="71" spans="1:11" ht="12.75" hidden="1" customHeight="1">
      <c r="A71" s="1"/>
      <c r="B71" s="1"/>
      <c r="C71" s="1"/>
      <c r="D71" s="1"/>
      <c r="E71" s="1"/>
      <c r="F71" s="1"/>
      <c r="G71" s="1"/>
      <c r="H71" s="1"/>
      <c r="I71" s="1"/>
      <c r="J71" s="1"/>
      <c r="K71" s="1"/>
    </row>
    <row r="72" spans="1:11" ht="12.75" hidden="1" customHeight="1">
      <c r="A72" s="1"/>
      <c r="B72" s="1"/>
      <c r="C72" s="1"/>
      <c r="D72" s="1"/>
      <c r="E72" s="23"/>
      <c r="F72" s="1"/>
      <c r="G72" s="1"/>
      <c r="H72" s="1"/>
      <c r="I72" s="1"/>
      <c r="J72" s="1"/>
      <c r="K72" s="1"/>
    </row>
    <row r="73" spans="1:11" ht="12.75" hidden="1" customHeight="1">
      <c r="A73" s="1"/>
      <c r="B73" s="1"/>
      <c r="C73" s="24"/>
      <c r="D73" s="1"/>
      <c r="E73" s="23"/>
      <c r="F73" s="1"/>
      <c r="G73" s="1"/>
      <c r="H73" s="1"/>
      <c r="I73" s="1"/>
      <c r="J73" s="1"/>
      <c r="K73" s="1"/>
    </row>
    <row r="74" spans="1:11" ht="12.75" hidden="1" customHeight="1">
      <c r="A74" s="1"/>
      <c r="B74" s="76"/>
      <c r="C74" s="77"/>
      <c r="D74" s="1"/>
      <c r="E74" s="23"/>
      <c r="F74" s="1"/>
      <c r="G74" s="1"/>
      <c r="H74" s="1"/>
      <c r="I74" s="1"/>
      <c r="J74" s="1"/>
      <c r="K74" s="1"/>
    </row>
    <row r="75" spans="1:11" ht="12.75" hidden="1" customHeight="1">
      <c r="A75" s="1"/>
      <c r="B75" s="77"/>
      <c r="C75" s="77"/>
      <c r="D75" s="1"/>
      <c r="E75" s="1"/>
      <c r="F75" s="1"/>
      <c r="G75" s="1"/>
      <c r="H75" s="1"/>
      <c r="I75" s="1"/>
      <c r="J75" s="1"/>
      <c r="K75" s="1"/>
    </row>
    <row r="76" spans="1:11" ht="12.75" hidden="1" customHeight="1">
      <c r="A76" s="1"/>
      <c r="B76" s="1"/>
      <c r="C76" s="1"/>
      <c r="D76" s="1"/>
      <c r="E76" s="1"/>
      <c r="F76" s="1"/>
      <c r="G76" s="1"/>
      <c r="H76" s="1"/>
      <c r="I76" s="1"/>
      <c r="J76" s="1"/>
      <c r="K76" s="1"/>
    </row>
    <row r="77" spans="1:11" ht="12.75" hidden="1" customHeight="1">
      <c r="A77" s="1"/>
      <c r="B77" s="1"/>
      <c r="C77" s="1"/>
      <c r="D77" s="1"/>
      <c r="E77" s="1"/>
      <c r="F77" s="1"/>
      <c r="G77" s="1"/>
      <c r="H77" s="1"/>
      <c r="I77" s="1"/>
      <c r="J77" s="1"/>
      <c r="K77" s="1"/>
    </row>
    <row r="78" spans="1:11" ht="12.75" hidden="1" customHeight="1">
      <c r="A78" s="1"/>
      <c r="B78" s="1"/>
      <c r="C78" s="1"/>
      <c r="D78" s="1"/>
      <c r="E78" s="1"/>
      <c r="F78" s="1"/>
      <c r="G78" s="1"/>
      <c r="H78" s="1"/>
      <c r="I78" s="1"/>
      <c r="J78" s="1"/>
      <c r="K78" s="1"/>
    </row>
    <row r="79" spans="1:11" ht="12.75" hidden="1" customHeight="1">
      <c r="A79" s="1"/>
      <c r="B79" s="1"/>
      <c r="C79" s="1"/>
      <c r="D79" s="1"/>
      <c r="E79" s="1"/>
      <c r="F79" s="1"/>
      <c r="G79" s="1"/>
      <c r="H79" s="1"/>
      <c r="I79" s="1"/>
      <c r="J79" s="1"/>
      <c r="K79" s="1"/>
    </row>
    <row r="80" spans="1:11" ht="12.75" customHeight="1">
      <c r="A80" s="1"/>
      <c r="B80" s="1"/>
      <c r="C80" s="1"/>
      <c r="D80" s="1"/>
      <c r="E80" s="1"/>
      <c r="F80" s="1"/>
      <c r="G80" s="1"/>
      <c r="H80" s="1"/>
      <c r="I80" s="1"/>
      <c r="J80" s="1"/>
      <c r="K80" s="1"/>
    </row>
    <row r="81" spans="1:11" ht="12.75" customHeight="1">
      <c r="A81" s="1"/>
      <c r="B81" s="1"/>
      <c r="C81" s="1"/>
      <c r="D81" s="1"/>
      <c r="E81" s="1"/>
      <c r="F81" s="1"/>
      <c r="G81" s="1"/>
      <c r="H81" s="1"/>
      <c r="I81" s="1"/>
      <c r="J81" s="1"/>
      <c r="K81" s="1"/>
    </row>
    <row r="82" spans="1:11" ht="12.75" customHeight="1">
      <c r="A82" s="1"/>
      <c r="B82" s="1"/>
      <c r="C82" s="1"/>
      <c r="D82" s="1"/>
      <c r="E82" s="1"/>
      <c r="F82" s="1"/>
      <c r="G82" s="1"/>
      <c r="H82" s="1"/>
      <c r="I82" s="1"/>
      <c r="J82" s="1"/>
      <c r="K82" s="1"/>
    </row>
    <row r="83" spans="1:11" ht="12.75" customHeight="1">
      <c r="A83" s="1"/>
      <c r="B83" s="1"/>
      <c r="C83" s="1"/>
      <c r="D83" s="1"/>
      <c r="E83" s="1"/>
      <c r="F83" s="1"/>
      <c r="G83" s="1"/>
      <c r="H83" s="1"/>
      <c r="I83" s="1"/>
      <c r="J83" s="1"/>
      <c r="K83" s="1"/>
    </row>
    <row r="84" spans="1:11" ht="12.75" customHeight="1">
      <c r="A84" s="1"/>
      <c r="B84" s="1"/>
      <c r="C84" s="1"/>
      <c r="D84" s="1"/>
      <c r="E84" s="1"/>
      <c r="F84" s="1"/>
      <c r="G84" s="1"/>
      <c r="H84" s="1"/>
      <c r="I84" s="1"/>
      <c r="J84" s="1"/>
      <c r="K84" s="1"/>
    </row>
    <row r="85" spans="1:11" ht="12.75" customHeight="1">
      <c r="A85" s="1"/>
      <c r="B85" s="1"/>
      <c r="C85" s="1"/>
      <c r="D85" s="1"/>
      <c r="E85" s="1"/>
      <c r="F85" s="1"/>
      <c r="G85" s="1"/>
      <c r="H85" s="1"/>
      <c r="I85" s="1"/>
      <c r="J85" s="1"/>
      <c r="K85" s="1"/>
    </row>
    <row r="86" spans="1:11" ht="12.75" customHeight="1">
      <c r="A86" s="1"/>
      <c r="B86" s="1"/>
      <c r="C86" s="1"/>
      <c r="D86" s="1"/>
      <c r="E86" s="1"/>
      <c r="F86" s="1"/>
      <c r="G86" s="1"/>
      <c r="H86" s="1"/>
      <c r="I86" s="1"/>
      <c r="J86" s="1"/>
      <c r="K86" s="1"/>
    </row>
    <row r="87" spans="1:11" ht="12.75" customHeight="1">
      <c r="A87" s="1"/>
      <c r="B87" s="1"/>
      <c r="C87" s="1"/>
      <c r="D87" s="1"/>
      <c r="E87" s="1"/>
      <c r="F87" s="1"/>
      <c r="G87" s="1"/>
      <c r="H87" s="1"/>
      <c r="I87" s="1"/>
      <c r="J87" s="1"/>
      <c r="K87" s="1"/>
    </row>
    <row r="88" spans="1:11" ht="12.75" customHeight="1">
      <c r="A88" s="1"/>
      <c r="B88" s="1"/>
      <c r="C88" s="1"/>
      <c r="D88" s="1"/>
      <c r="E88" s="1"/>
      <c r="F88" s="1"/>
      <c r="G88" s="1"/>
      <c r="H88" s="1"/>
      <c r="I88" s="1"/>
      <c r="J88" s="1"/>
      <c r="K88" s="1"/>
    </row>
    <row r="89" spans="1:11" ht="12.75" customHeight="1">
      <c r="A89" s="1"/>
      <c r="B89" s="1"/>
      <c r="C89" s="1"/>
      <c r="D89" s="1"/>
      <c r="E89" s="1"/>
      <c r="F89" s="1"/>
      <c r="G89" s="1"/>
      <c r="H89" s="1"/>
      <c r="I89" s="1"/>
      <c r="J89" s="1"/>
      <c r="K89" s="1"/>
    </row>
    <row r="90" spans="1:11" ht="12.75" customHeight="1">
      <c r="A90" s="1"/>
      <c r="B90" s="1"/>
      <c r="C90" s="1"/>
      <c r="D90" s="1"/>
      <c r="E90" s="1"/>
      <c r="F90" s="1"/>
      <c r="G90" s="1"/>
      <c r="H90" s="1"/>
      <c r="I90" s="1"/>
      <c r="J90" s="1"/>
      <c r="K90" s="1"/>
    </row>
    <row r="91" spans="1:11" ht="12.75" customHeight="1">
      <c r="A91" s="1"/>
      <c r="B91" s="1"/>
      <c r="C91" s="1"/>
      <c r="D91" s="1"/>
      <c r="E91" s="1"/>
      <c r="F91" s="1"/>
      <c r="G91" s="1"/>
      <c r="H91" s="1"/>
      <c r="I91" s="1"/>
      <c r="J91" s="1"/>
      <c r="K91" s="1"/>
    </row>
    <row r="92" spans="1:11" ht="12.75" customHeight="1">
      <c r="A92" s="1"/>
      <c r="B92" s="1"/>
      <c r="C92" s="1"/>
      <c r="D92" s="1"/>
      <c r="E92" s="1"/>
      <c r="F92" s="1"/>
      <c r="G92" s="1"/>
      <c r="H92" s="1"/>
      <c r="I92" s="1"/>
      <c r="J92" s="1"/>
      <c r="K92" s="1"/>
    </row>
    <row r="93" spans="1:11" ht="12.75" customHeight="1">
      <c r="A93" s="1"/>
      <c r="B93" s="1"/>
      <c r="C93" s="1"/>
      <c r="D93" s="1"/>
      <c r="E93" s="1"/>
      <c r="F93" s="1"/>
      <c r="G93" s="1"/>
      <c r="H93" s="1"/>
      <c r="I93" s="1"/>
      <c r="J93" s="1"/>
      <c r="K93" s="1"/>
    </row>
    <row r="94" spans="1:11" ht="12.75" customHeight="1">
      <c r="A94" s="1"/>
      <c r="B94" s="1"/>
      <c r="C94" s="1"/>
      <c r="D94" s="1"/>
      <c r="E94" s="1"/>
      <c r="F94" s="1"/>
      <c r="G94" s="1"/>
      <c r="H94" s="1"/>
      <c r="I94" s="1"/>
      <c r="J94" s="1"/>
      <c r="K94" s="1"/>
    </row>
    <row r="95" spans="1:11" ht="12.75" customHeight="1">
      <c r="A95" s="1"/>
      <c r="B95" s="1"/>
      <c r="C95" s="1"/>
      <c r="D95" s="1"/>
      <c r="E95" s="1"/>
      <c r="F95" s="1"/>
      <c r="G95" s="1"/>
      <c r="H95" s="1"/>
      <c r="I95" s="1"/>
      <c r="J95" s="1"/>
      <c r="K95" s="1"/>
    </row>
    <row r="96" spans="1:11" ht="12.75" customHeight="1">
      <c r="A96" s="1"/>
      <c r="B96" s="1"/>
      <c r="C96" s="1"/>
      <c r="D96" s="1"/>
      <c r="E96" s="1"/>
      <c r="F96" s="1"/>
      <c r="G96" s="1"/>
      <c r="H96" s="1"/>
      <c r="I96" s="1"/>
      <c r="J96" s="1"/>
      <c r="K96" s="1"/>
    </row>
    <row r="97" spans="1:11" ht="12.75" customHeight="1">
      <c r="A97" s="1"/>
      <c r="B97" s="1"/>
      <c r="C97" s="1"/>
      <c r="D97" s="1"/>
      <c r="E97" s="1"/>
      <c r="F97" s="1"/>
      <c r="G97" s="1"/>
      <c r="H97" s="1"/>
      <c r="I97" s="1"/>
      <c r="J97" s="1"/>
      <c r="K97" s="1"/>
    </row>
    <row r="98" spans="1:11" ht="12.75" customHeight="1">
      <c r="A98" s="1"/>
      <c r="B98" s="1"/>
      <c r="C98" s="1"/>
      <c r="D98" s="1"/>
      <c r="E98" s="1"/>
      <c r="F98" s="1"/>
      <c r="G98" s="1"/>
      <c r="H98" s="1"/>
      <c r="I98" s="1"/>
      <c r="J98" s="1"/>
      <c r="K98" s="1"/>
    </row>
    <row r="99" spans="1:11" ht="12.75" customHeight="1">
      <c r="A99" s="1"/>
      <c r="B99" s="1"/>
      <c r="C99" s="1"/>
      <c r="D99" s="1"/>
      <c r="E99" s="1"/>
      <c r="F99" s="1"/>
      <c r="G99" s="1"/>
      <c r="H99" s="1"/>
      <c r="I99" s="1"/>
      <c r="J99" s="1"/>
      <c r="K99" s="1"/>
    </row>
    <row r="100" spans="1:11" ht="12.75" customHeight="1">
      <c r="A100" s="1"/>
      <c r="B100" s="1"/>
      <c r="C100" s="1"/>
      <c r="D100" s="1"/>
      <c r="E100" s="1"/>
      <c r="F100" s="1"/>
      <c r="G100" s="1"/>
      <c r="H100" s="1"/>
      <c r="I100" s="1"/>
      <c r="J100" s="1"/>
      <c r="K100" s="1"/>
    </row>
  </sheetData>
  <mergeCells count="60">
    <mergeCell ref="A10:I10"/>
    <mergeCell ref="A11:I11"/>
    <mergeCell ref="A4:I4"/>
    <mergeCell ref="C5:I5"/>
    <mergeCell ref="A6:I6"/>
    <mergeCell ref="A7:I7"/>
    <mergeCell ref="A8:I8"/>
    <mergeCell ref="A9:I9"/>
    <mergeCell ref="A5:B5"/>
    <mergeCell ref="F34:F37"/>
    <mergeCell ref="G34:G37"/>
    <mergeCell ref="H34:H37"/>
    <mergeCell ref="I34:I37"/>
    <mergeCell ref="D41:I41"/>
    <mergeCell ref="D38:E38"/>
    <mergeCell ref="D39:E39"/>
    <mergeCell ref="D40:E40"/>
    <mergeCell ref="D13:E13"/>
    <mergeCell ref="B14:C17"/>
    <mergeCell ref="A13:C13"/>
    <mergeCell ref="A14:A17"/>
    <mergeCell ref="D12:I12"/>
    <mergeCell ref="A12:C12"/>
    <mergeCell ref="I14:I17"/>
    <mergeCell ref="F14:F17"/>
    <mergeCell ref="G14:G17"/>
    <mergeCell ref="H14:H17"/>
    <mergeCell ref="A34:A37"/>
    <mergeCell ref="B34:C37"/>
    <mergeCell ref="B74:C75"/>
    <mergeCell ref="B24:C27"/>
    <mergeCell ref="B19:C22"/>
    <mergeCell ref="A33:C33"/>
    <mergeCell ref="A29:A32"/>
    <mergeCell ref="B29:C32"/>
    <mergeCell ref="A41:C41"/>
    <mergeCell ref="A40:C40"/>
    <mergeCell ref="A38:C38"/>
    <mergeCell ref="A39:C39"/>
    <mergeCell ref="A18:C18"/>
    <mergeCell ref="D28:E28"/>
    <mergeCell ref="I19:I22"/>
    <mergeCell ref="A24:A27"/>
    <mergeCell ref="A19:A22"/>
    <mergeCell ref="A28:C28"/>
    <mergeCell ref="G24:G27"/>
    <mergeCell ref="H24:H27"/>
    <mergeCell ref="I24:I27"/>
    <mergeCell ref="A23:C23"/>
    <mergeCell ref="I29:I32"/>
    <mergeCell ref="D33:E33"/>
    <mergeCell ref="D18:E18"/>
    <mergeCell ref="F19:F22"/>
    <mergeCell ref="G19:G22"/>
    <mergeCell ref="H19:H22"/>
    <mergeCell ref="F24:F27"/>
    <mergeCell ref="D23:E23"/>
    <mergeCell ref="F29:F32"/>
    <mergeCell ref="G29:G32"/>
    <mergeCell ref="H29:H32"/>
  </mergeCells>
  <conditionalFormatting sqref="J18">
    <cfRule type="expression" dxfId="27" priority="1">
      <formula>"X"</formula>
    </cfRule>
  </conditionalFormatting>
  <conditionalFormatting sqref="J23">
    <cfRule type="expression" dxfId="26" priority="2">
      <formula>"X"</formula>
    </cfRule>
  </conditionalFormatting>
  <conditionalFormatting sqref="J28">
    <cfRule type="expression" dxfId="25" priority="3">
      <formula>"X"</formula>
    </cfRule>
  </conditionalFormatting>
  <conditionalFormatting sqref="J33">
    <cfRule type="expression" dxfId="24" priority="4">
      <formula>"X"</formula>
    </cfRule>
  </conditionalFormatting>
  <conditionalFormatting sqref="J38">
    <cfRule type="expression" dxfId="23" priority="5">
      <formula>"X"</formula>
    </cfRule>
  </conditionalFormatting>
  <pageMargins left="0.196527777777778" right="0" top="0" bottom="0" header="0" footer="0"/>
  <pageSetup paperSize="9" scale="83"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
  <sheetViews>
    <sheetView showGridLines="0" topLeftCell="A13" workbookViewId="0">
      <selection activeCell="F41" sqref="F41"/>
    </sheetView>
  </sheetViews>
  <sheetFormatPr defaultColWidth="14.36328125" defaultRowHeight="15" customHeight="1"/>
  <cols>
    <col min="1" max="1" width="7.36328125" customWidth="1"/>
    <col min="2" max="2" width="13" customWidth="1"/>
    <col min="3" max="3" width="8.7265625" customWidth="1"/>
    <col min="4" max="4" width="3" customWidth="1"/>
    <col min="5" max="5" width="33.1796875" customWidth="1"/>
    <col min="6" max="6" width="14.26953125" customWidth="1"/>
    <col min="7" max="7" width="14.36328125" customWidth="1"/>
    <col min="8" max="9" width="13.453125" customWidth="1"/>
    <col min="10" max="10" width="6.81640625" customWidth="1"/>
    <col min="11" max="11" width="9.1796875" hidden="1" customWidth="1"/>
  </cols>
  <sheetData>
    <row r="1" spans="1:11" ht="12.75" customHeight="1">
      <c r="A1" s="26"/>
      <c r="B1" s="26"/>
      <c r="C1" s="1"/>
      <c r="D1" s="1"/>
      <c r="E1" s="1"/>
      <c r="F1" s="1"/>
      <c r="G1" s="1"/>
      <c r="H1" s="1"/>
      <c r="I1" s="1"/>
      <c r="J1" s="27"/>
      <c r="K1" s="1"/>
    </row>
    <row r="2" spans="1:11" ht="12.75" customHeight="1">
      <c r="A2" s="26"/>
      <c r="B2" s="6" t="s">
        <v>7</v>
      </c>
      <c r="C2" s="1" t="s">
        <v>8</v>
      </c>
      <c r="D2" s="1"/>
      <c r="E2" s="1"/>
      <c r="F2" s="1"/>
      <c r="G2" s="1"/>
      <c r="H2" s="1"/>
      <c r="I2" s="1"/>
      <c r="J2" s="27"/>
      <c r="K2" s="1"/>
    </row>
    <row r="3" spans="1:11" ht="12.75" customHeight="1">
      <c r="A3" s="1"/>
      <c r="B3" s="1"/>
      <c r="C3" s="1"/>
      <c r="D3" s="1"/>
      <c r="E3" s="1"/>
      <c r="F3" s="1"/>
      <c r="G3" s="1"/>
      <c r="H3" s="1"/>
      <c r="I3" s="1"/>
      <c r="J3" s="1"/>
      <c r="K3" s="1"/>
    </row>
    <row r="4" spans="1:11" ht="15.75" customHeight="1">
      <c r="A4" s="56" t="s">
        <v>93</v>
      </c>
      <c r="B4" s="57"/>
      <c r="C4" s="57"/>
      <c r="D4" s="57"/>
      <c r="E4" s="57"/>
      <c r="F4" s="57"/>
      <c r="G4" s="57"/>
      <c r="H4" s="57"/>
      <c r="I4" s="58"/>
      <c r="J4" s="1"/>
      <c r="K4" s="1"/>
    </row>
    <row r="5" spans="1:11" ht="15.75" customHeight="1">
      <c r="A5" s="61" t="s">
        <v>94</v>
      </c>
      <c r="B5" s="62"/>
      <c r="C5" s="63"/>
      <c r="D5" s="51"/>
      <c r="E5" s="51"/>
      <c r="F5" s="51"/>
      <c r="G5" s="51"/>
      <c r="H5" s="51"/>
      <c r="I5" s="52"/>
      <c r="J5" s="1"/>
      <c r="K5" s="1"/>
    </row>
    <row r="6" spans="1:11" ht="12.75" customHeight="1">
      <c r="A6" s="53" t="s">
        <v>13</v>
      </c>
      <c r="B6" s="51"/>
      <c r="C6" s="51"/>
      <c r="D6" s="51"/>
      <c r="E6" s="51"/>
      <c r="F6" s="51"/>
      <c r="G6" s="51"/>
      <c r="H6" s="51"/>
      <c r="I6" s="52"/>
      <c r="J6" s="1"/>
      <c r="K6" s="1"/>
    </row>
    <row r="7" spans="1:11" ht="13.5" customHeight="1">
      <c r="A7" s="50" t="s">
        <v>95</v>
      </c>
      <c r="B7" s="51"/>
      <c r="C7" s="51"/>
      <c r="D7" s="51"/>
      <c r="E7" s="51"/>
      <c r="F7" s="51"/>
      <c r="G7" s="51"/>
      <c r="H7" s="51"/>
      <c r="I7" s="52"/>
      <c r="J7" s="1"/>
      <c r="K7" s="1"/>
    </row>
    <row r="8" spans="1:11" ht="12.75" customHeight="1">
      <c r="A8" s="53" t="s">
        <v>15</v>
      </c>
      <c r="B8" s="51"/>
      <c r="C8" s="51"/>
      <c r="D8" s="51"/>
      <c r="E8" s="51"/>
      <c r="F8" s="51"/>
      <c r="G8" s="51"/>
      <c r="H8" s="51"/>
      <c r="I8" s="52"/>
      <c r="J8" s="1"/>
      <c r="K8" s="1"/>
    </row>
    <row r="9" spans="1:11" ht="15.75" customHeight="1">
      <c r="A9" s="54" t="s">
        <v>96</v>
      </c>
      <c r="B9" s="51"/>
      <c r="C9" s="51"/>
      <c r="D9" s="51"/>
      <c r="E9" s="51"/>
      <c r="F9" s="51"/>
      <c r="G9" s="51"/>
      <c r="H9" s="51"/>
      <c r="I9" s="52"/>
      <c r="J9" s="1"/>
      <c r="K9" s="1"/>
    </row>
    <row r="10" spans="1:11" ht="12.75" customHeight="1">
      <c r="A10" s="53" t="s">
        <v>17</v>
      </c>
      <c r="B10" s="51"/>
      <c r="C10" s="51"/>
      <c r="D10" s="51"/>
      <c r="E10" s="51"/>
      <c r="F10" s="51"/>
      <c r="G10" s="51"/>
      <c r="H10" s="51"/>
      <c r="I10" s="52"/>
      <c r="J10" s="1"/>
      <c r="K10" s="1"/>
    </row>
    <row r="11" spans="1:11" ht="43.5" customHeight="1">
      <c r="A11" s="50" t="s">
        <v>97</v>
      </c>
      <c r="B11" s="51"/>
      <c r="C11" s="51"/>
      <c r="D11" s="51"/>
      <c r="E11" s="51"/>
      <c r="F11" s="51"/>
      <c r="G11" s="51"/>
      <c r="H11" s="51"/>
      <c r="I11" s="52"/>
      <c r="J11" s="1"/>
      <c r="K11" s="7"/>
    </row>
    <row r="12" spans="1:11" ht="12.75" customHeight="1">
      <c r="A12" s="105" t="s">
        <v>19</v>
      </c>
      <c r="B12" s="51"/>
      <c r="C12" s="62"/>
      <c r="D12" s="106" t="s">
        <v>20</v>
      </c>
      <c r="E12" s="51"/>
      <c r="F12" s="51"/>
      <c r="G12" s="51"/>
      <c r="H12" s="51"/>
      <c r="I12" s="52"/>
      <c r="J12" s="8"/>
      <c r="K12" s="1"/>
    </row>
    <row r="13" spans="1:11" ht="58.5" customHeight="1">
      <c r="A13" s="107" t="s">
        <v>98</v>
      </c>
      <c r="B13" s="51"/>
      <c r="C13" s="62"/>
      <c r="D13" s="108">
        <v>4</v>
      </c>
      <c r="E13" s="109"/>
      <c r="F13" s="9">
        <v>3</v>
      </c>
      <c r="G13" s="9">
        <v>2</v>
      </c>
      <c r="H13" s="9">
        <v>1</v>
      </c>
      <c r="I13" s="10">
        <v>0</v>
      </c>
      <c r="J13" s="8"/>
      <c r="K13" s="1"/>
    </row>
    <row r="14" spans="1:11" ht="24" customHeight="1">
      <c r="A14" s="110" t="s">
        <v>22</v>
      </c>
      <c r="B14" s="78" t="s">
        <v>99</v>
      </c>
      <c r="C14" s="79"/>
      <c r="D14" s="11" t="s">
        <v>24</v>
      </c>
      <c r="E14" s="12" t="s">
        <v>100</v>
      </c>
      <c r="F14" s="111" t="s">
        <v>26</v>
      </c>
      <c r="G14" s="103" t="s">
        <v>27</v>
      </c>
      <c r="H14" s="103" t="s">
        <v>28</v>
      </c>
      <c r="I14" s="104" t="s">
        <v>29</v>
      </c>
      <c r="J14" s="13"/>
      <c r="K14" s="1"/>
    </row>
    <row r="15" spans="1:11" ht="16.5" customHeight="1">
      <c r="A15" s="90"/>
      <c r="B15" s="80"/>
      <c r="C15" s="77"/>
      <c r="D15" s="14" t="s">
        <v>30</v>
      </c>
      <c r="E15" s="15" t="s">
        <v>25</v>
      </c>
      <c r="F15" s="101"/>
      <c r="G15" s="65"/>
      <c r="H15" s="65"/>
      <c r="I15" s="68"/>
      <c r="J15" s="13"/>
      <c r="K15" s="1"/>
    </row>
    <row r="16" spans="1:11" ht="20.25" customHeight="1">
      <c r="A16" s="91"/>
      <c r="B16" s="81"/>
      <c r="C16" s="82"/>
      <c r="D16" s="16" t="s">
        <v>32</v>
      </c>
      <c r="E16" s="17" t="s">
        <v>51</v>
      </c>
      <c r="F16" s="102"/>
      <c r="G16" s="66"/>
      <c r="H16" s="66"/>
      <c r="I16" s="69"/>
      <c r="J16" s="13"/>
      <c r="K16" s="1"/>
    </row>
    <row r="17" spans="1:11" ht="13.5" customHeight="1">
      <c r="A17" s="84" t="s">
        <v>34</v>
      </c>
      <c r="B17" s="74"/>
      <c r="C17" s="75"/>
      <c r="D17" s="85"/>
      <c r="E17" s="75"/>
      <c r="F17" s="18"/>
      <c r="G17" s="18"/>
      <c r="H17" s="18"/>
      <c r="I17" s="19"/>
      <c r="J17" s="13">
        <f>IF((D17+F17+G17+H17+I17)&gt;1,"X",IF((D17+F17+G17+H17+I17)=0,0,""))</f>
        <v>0</v>
      </c>
      <c r="K17" s="1"/>
    </row>
    <row r="18" spans="1:11" ht="25.5" customHeight="1">
      <c r="A18" s="89" t="s">
        <v>35</v>
      </c>
      <c r="B18" s="83" t="s">
        <v>101</v>
      </c>
      <c r="C18" s="77"/>
      <c r="D18" s="14" t="s">
        <v>24</v>
      </c>
      <c r="E18" s="15" t="s">
        <v>100</v>
      </c>
      <c r="F18" s="100" t="s">
        <v>26</v>
      </c>
      <c r="G18" s="64" t="s">
        <v>27</v>
      </c>
      <c r="H18" s="64" t="s">
        <v>28</v>
      </c>
      <c r="I18" s="67" t="s">
        <v>29</v>
      </c>
      <c r="J18" s="13"/>
      <c r="K18" s="1"/>
    </row>
    <row r="19" spans="1:11" ht="21.75" customHeight="1">
      <c r="A19" s="90"/>
      <c r="B19" s="80"/>
      <c r="C19" s="77"/>
      <c r="D19" s="14" t="s">
        <v>30</v>
      </c>
      <c r="E19" s="15" t="s">
        <v>25</v>
      </c>
      <c r="F19" s="101"/>
      <c r="G19" s="65"/>
      <c r="H19" s="65"/>
      <c r="I19" s="68"/>
      <c r="J19" s="13"/>
      <c r="K19" s="1"/>
    </row>
    <row r="20" spans="1:11" ht="21.75" customHeight="1">
      <c r="A20" s="91"/>
      <c r="B20" s="81"/>
      <c r="C20" s="82"/>
      <c r="D20" s="16" t="s">
        <v>32</v>
      </c>
      <c r="E20" s="17" t="s">
        <v>51</v>
      </c>
      <c r="F20" s="102"/>
      <c r="G20" s="66"/>
      <c r="H20" s="66"/>
      <c r="I20" s="69"/>
      <c r="J20" s="13"/>
      <c r="K20" s="1"/>
    </row>
    <row r="21" spans="1:11" ht="13.5" customHeight="1">
      <c r="A21" s="84" t="s">
        <v>34</v>
      </c>
      <c r="B21" s="74"/>
      <c r="C21" s="75"/>
      <c r="D21" s="85"/>
      <c r="E21" s="75"/>
      <c r="F21" s="18"/>
      <c r="G21" s="18"/>
      <c r="H21" s="18"/>
      <c r="I21" s="19"/>
      <c r="J21" s="13">
        <f>IF((D21+F21+G21+H21+I21)&gt;1,"X",IF((D21+F21+G21+H21+I21)=0,0,""))</f>
        <v>0</v>
      </c>
      <c r="K21" s="1"/>
    </row>
    <row r="22" spans="1:11" ht="20.25" customHeight="1">
      <c r="A22" s="89" t="s">
        <v>37</v>
      </c>
      <c r="B22" s="83" t="s">
        <v>102</v>
      </c>
      <c r="C22" s="77"/>
      <c r="D22" s="14" t="s">
        <v>24</v>
      </c>
      <c r="E22" s="15" t="s">
        <v>100</v>
      </c>
      <c r="F22" s="100" t="s">
        <v>26</v>
      </c>
      <c r="G22" s="64" t="s">
        <v>27</v>
      </c>
      <c r="H22" s="64" t="s">
        <v>28</v>
      </c>
      <c r="I22" s="67" t="s">
        <v>29</v>
      </c>
      <c r="J22" s="13"/>
      <c r="K22" s="1"/>
    </row>
    <row r="23" spans="1:11" ht="28.5" customHeight="1">
      <c r="A23" s="90"/>
      <c r="B23" s="80"/>
      <c r="C23" s="77"/>
      <c r="D23" s="14" t="s">
        <v>30</v>
      </c>
      <c r="E23" s="15" t="s">
        <v>25</v>
      </c>
      <c r="F23" s="101"/>
      <c r="G23" s="65"/>
      <c r="H23" s="65"/>
      <c r="I23" s="68"/>
      <c r="J23" s="13"/>
      <c r="K23" s="1"/>
    </row>
    <row r="24" spans="1:11" ht="44" customHeight="1">
      <c r="A24" s="91"/>
      <c r="B24" s="81"/>
      <c r="C24" s="82"/>
      <c r="D24" s="16" t="s">
        <v>32</v>
      </c>
      <c r="E24" s="17" t="s">
        <v>51</v>
      </c>
      <c r="F24" s="102"/>
      <c r="G24" s="66"/>
      <c r="H24" s="66"/>
      <c r="I24" s="69"/>
      <c r="J24" s="13"/>
      <c r="K24" s="1"/>
    </row>
    <row r="25" spans="1:11" ht="13.5" customHeight="1">
      <c r="A25" s="84" t="s">
        <v>34</v>
      </c>
      <c r="B25" s="74"/>
      <c r="C25" s="75"/>
      <c r="D25" s="85"/>
      <c r="E25" s="75"/>
      <c r="F25" s="18"/>
      <c r="G25" s="18"/>
      <c r="H25" s="18"/>
      <c r="I25" s="19"/>
      <c r="J25" s="13">
        <f>IF((D25+F25+G25+H25+I25)&gt;1,"X",IF((D25+F25+G25+H25+I25)=0,0,""))</f>
        <v>0</v>
      </c>
      <c r="K25" s="1"/>
    </row>
    <row r="26" spans="1:11" ht="37.5" customHeight="1">
      <c r="A26" s="89" t="s">
        <v>66</v>
      </c>
      <c r="B26" s="83" t="s">
        <v>103</v>
      </c>
      <c r="C26" s="77"/>
      <c r="D26" s="14" t="s">
        <v>24</v>
      </c>
      <c r="E26" s="15" t="s">
        <v>100</v>
      </c>
      <c r="F26" s="100" t="s">
        <v>26</v>
      </c>
      <c r="G26" s="64" t="s">
        <v>27</v>
      </c>
      <c r="H26" s="64" t="s">
        <v>28</v>
      </c>
      <c r="I26" s="67" t="s">
        <v>29</v>
      </c>
      <c r="J26" s="13"/>
      <c r="K26" s="1"/>
    </row>
    <row r="27" spans="1:11" ht="30" customHeight="1">
      <c r="A27" s="90"/>
      <c r="B27" s="80"/>
      <c r="C27" s="77"/>
      <c r="D27" s="14" t="s">
        <v>30</v>
      </c>
      <c r="E27" s="15" t="s">
        <v>25</v>
      </c>
      <c r="F27" s="101"/>
      <c r="G27" s="65"/>
      <c r="H27" s="65"/>
      <c r="I27" s="68"/>
      <c r="J27" s="13"/>
      <c r="K27" s="1"/>
    </row>
    <row r="28" spans="1:11" ht="25.5" customHeight="1">
      <c r="A28" s="91"/>
      <c r="B28" s="81"/>
      <c r="C28" s="82"/>
      <c r="D28" s="16" t="s">
        <v>32</v>
      </c>
      <c r="E28" s="17" t="s">
        <v>51</v>
      </c>
      <c r="F28" s="102"/>
      <c r="G28" s="66"/>
      <c r="H28" s="66"/>
      <c r="I28" s="69"/>
      <c r="J28" s="13"/>
      <c r="K28" s="1"/>
    </row>
    <row r="29" spans="1:11" ht="13.5" customHeight="1">
      <c r="A29" s="84" t="s">
        <v>34</v>
      </c>
      <c r="B29" s="74"/>
      <c r="C29" s="75"/>
      <c r="D29" s="85"/>
      <c r="E29" s="75"/>
      <c r="F29" s="18"/>
      <c r="G29" s="18"/>
      <c r="H29" s="18"/>
      <c r="I29" s="19"/>
      <c r="J29" s="13">
        <f>IF((D29+F29+G29+H29+I29)&gt;1,"X",IF((D29+F29+G29+H29+I29)=0,0,""))</f>
        <v>0</v>
      </c>
      <c r="K29" s="1"/>
    </row>
    <row r="30" spans="1:11" ht="19.5" customHeight="1">
      <c r="A30" s="89" t="s">
        <v>89</v>
      </c>
      <c r="B30" s="83" t="s">
        <v>104</v>
      </c>
      <c r="C30" s="77"/>
      <c r="D30" s="14" t="s">
        <v>24</v>
      </c>
      <c r="E30" s="15" t="s">
        <v>100</v>
      </c>
      <c r="F30" s="100" t="s">
        <v>26</v>
      </c>
      <c r="G30" s="64" t="s">
        <v>27</v>
      </c>
      <c r="H30" s="64" t="s">
        <v>28</v>
      </c>
      <c r="I30" s="67" t="s">
        <v>29</v>
      </c>
      <c r="J30" s="13"/>
      <c r="K30" s="1"/>
    </row>
    <row r="31" spans="1:11" ht="12.75" customHeight="1">
      <c r="A31" s="90"/>
      <c r="B31" s="80"/>
      <c r="C31" s="77"/>
      <c r="D31" s="14" t="s">
        <v>30</v>
      </c>
      <c r="E31" s="15" t="s">
        <v>25</v>
      </c>
      <c r="F31" s="101"/>
      <c r="G31" s="65"/>
      <c r="H31" s="65"/>
      <c r="I31" s="68"/>
      <c r="J31" s="13"/>
      <c r="K31" s="1"/>
    </row>
    <row r="32" spans="1:11" ht="40.5" customHeight="1">
      <c r="A32" s="91"/>
      <c r="B32" s="81"/>
      <c r="C32" s="82"/>
      <c r="D32" s="16" t="s">
        <v>32</v>
      </c>
      <c r="E32" s="17" t="s">
        <v>105</v>
      </c>
      <c r="F32" s="102"/>
      <c r="G32" s="66"/>
      <c r="H32" s="66"/>
      <c r="I32" s="69"/>
      <c r="J32" s="13"/>
      <c r="K32" s="1"/>
    </row>
    <row r="33" spans="1:11" ht="13.5" customHeight="1">
      <c r="A33" s="84" t="s">
        <v>34</v>
      </c>
      <c r="B33" s="74"/>
      <c r="C33" s="75"/>
      <c r="D33" s="85"/>
      <c r="E33" s="75"/>
      <c r="F33" s="18"/>
      <c r="G33" s="18"/>
      <c r="H33" s="18"/>
      <c r="I33" s="19"/>
      <c r="J33" s="13">
        <f>IF((D33+F33+G33+H33+I33)&gt;1,"X",IF((D33+F33+G33+H33+I33)=0,0,""))</f>
        <v>0</v>
      </c>
      <c r="K33" s="1"/>
    </row>
    <row r="34" spans="1:11" ht="18.75" customHeight="1">
      <c r="A34" s="89" t="s">
        <v>106</v>
      </c>
      <c r="B34" s="83" t="s">
        <v>107</v>
      </c>
      <c r="C34" s="77"/>
      <c r="D34" s="14" t="s">
        <v>24</v>
      </c>
      <c r="E34" s="15" t="s">
        <v>100</v>
      </c>
      <c r="F34" s="100" t="s">
        <v>26</v>
      </c>
      <c r="G34" s="64" t="s">
        <v>27</v>
      </c>
      <c r="H34" s="64" t="s">
        <v>28</v>
      </c>
      <c r="I34" s="67" t="s">
        <v>29</v>
      </c>
      <c r="J34" s="13"/>
      <c r="K34" s="1"/>
    </row>
    <row r="35" spans="1:11" ht="29.25" customHeight="1">
      <c r="A35" s="90"/>
      <c r="B35" s="80"/>
      <c r="C35" s="77"/>
      <c r="D35" s="14" t="s">
        <v>30</v>
      </c>
      <c r="E35" s="15" t="s">
        <v>25</v>
      </c>
      <c r="F35" s="101"/>
      <c r="G35" s="65"/>
      <c r="H35" s="65"/>
      <c r="I35" s="68"/>
      <c r="J35" s="13"/>
      <c r="K35" s="1"/>
    </row>
    <row r="36" spans="1:11" ht="20.25" customHeight="1">
      <c r="A36" s="91"/>
      <c r="B36" s="81"/>
      <c r="C36" s="82"/>
      <c r="D36" s="16" t="s">
        <v>32</v>
      </c>
      <c r="E36" s="17" t="s">
        <v>105</v>
      </c>
      <c r="F36" s="102"/>
      <c r="G36" s="66"/>
      <c r="H36" s="66"/>
      <c r="I36" s="69"/>
      <c r="J36" s="13"/>
      <c r="K36" s="1"/>
    </row>
    <row r="37" spans="1:11" ht="13.5" customHeight="1">
      <c r="A37" s="84" t="s">
        <v>34</v>
      </c>
      <c r="B37" s="74"/>
      <c r="C37" s="75"/>
      <c r="D37" s="85"/>
      <c r="E37" s="75"/>
      <c r="F37" s="18"/>
      <c r="G37" s="18"/>
      <c r="H37" s="18"/>
      <c r="I37" s="19"/>
      <c r="J37" s="13">
        <f>IF((D37+F37+G37+H37+I37)&gt;1,"X",IF((D37+F37+G37+H37+I37)=0,0,""))</f>
        <v>0</v>
      </c>
      <c r="K37" s="1"/>
    </row>
    <row r="38" spans="1:11" ht="30" customHeight="1">
      <c r="A38" s="89" t="s">
        <v>108</v>
      </c>
      <c r="B38" s="83" t="s">
        <v>109</v>
      </c>
      <c r="C38" s="77"/>
      <c r="D38" s="14" t="s">
        <v>24</v>
      </c>
      <c r="E38" s="15" t="s">
        <v>100</v>
      </c>
      <c r="F38" s="100" t="s">
        <v>26</v>
      </c>
      <c r="G38" s="64" t="s">
        <v>27</v>
      </c>
      <c r="H38" s="64" t="s">
        <v>28</v>
      </c>
      <c r="I38" s="67" t="s">
        <v>29</v>
      </c>
      <c r="J38" s="13"/>
      <c r="K38" s="1"/>
    </row>
    <row r="39" spans="1:11" ht="29.25" customHeight="1">
      <c r="A39" s="90"/>
      <c r="B39" s="80"/>
      <c r="C39" s="77"/>
      <c r="D39" s="14" t="s">
        <v>30</v>
      </c>
      <c r="E39" s="15" t="s">
        <v>25</v>
      </c>
      <c r="F39" s="101"/>
      <c r="G39" s="65"/>
      <c r="H39" s="65"/>
      <c r="I39" s="68"/>
      <c r="J39" s="13"/>
      <c r="K39" s="1"/>
    </row>
    <row r="40" spans="1:11" ht="24.75" customHeight="1">
      <c r="A40" s="91"/>
      <c r="B40" s="81"/>
      <c r="C40" s="82"/>
      <c r="D40" s="16" t="s">
        <v>32</v>
      </c>
      <c r="E40" s="17" t="s">
        <v>105</v>
      </c>
      <c r="F40" s="102"/>
      <c r="G40" s="66"/>
      <c r="H40" s="66"/>
      <c r="I40" s="69"/>
      <c r="J40" s="13"/>
      <c r="K40" s="1"/>
    </row>
    <row r="41" spans="1:11" ht="13.5" customHeight="1">
      <c r="A41" s="84" t="s">
        <v>34</v>
      </c>
      <c r="B41" s="74"/>
      <c r="C41" s="75"/>
      <c r="D41" s="85"/>
      <c r="E41" s="75"/>
      <c r="F41" s="18"/>
      <c r="G41" s="18"/>
      <c r="H41" s="18"/>
      <c r="I41" s="19"/>
      <c r="J41" s="13">
        <f>IF((D41+F41+G41+H41+I41)&gt;1,"X",IF((D41+F41+G41+H41+I41)=0,0,""))</f>
        <v>0</v>
      </c>
      <c r="K41" s="1"/>
    </row>
    <row r="42" spans="1:11" ht="16.5" customHeight="1">
      <c r="A42" s="73" t="s">
        <v>110</v>
      </c>
      <c r="B42" s="74"/>
      <c r="C42" s="75"/>
      <c r="D42" s="88">
        <f>IF(SUM(D17+D21+D25+D29+D33+D37+D41)="","",(SUM(D17+D21+D25+D29+D33+D37+D41)))</f>
        <v>0</v>
      </c>
      <c r="E42" s="75"/>
      <c r="F42" s="20">
        <f>IF(SUM(F17+F21++F25+F29+F33+F37+F41)="","",(SUM(F17+F21++F25+F29+F33+F37+F41)))</f>
        <v>0</v>
      </c>
      <c r="G42" s="20">
        <f t="shared" ref="G42:I42" si="0">IF(SUM(G17+G21+G25+G29+G33+G37+G41)="","",(SUM(G17+G21+G25+G29+G33+G37+G41)))</f>
        <v>0</v>
      </c>
      <c r="H42" s="20">
        <f t="shared" si="0"/>
        <v>0</v>
      </c>
      <c r="I42" s="21">
        <f t="shared" si="0"/>
        <v>0</v>
      </c>
      <c r="J42" s="1"/>
      <c r="K42" s="1"/>
    </row>
    <row r="43" spans="1:11" ht="16.5" customHeight="1">
      <c r="A43" s="73" t="s">
        <v>40</v>
      </c>
      <c r="B43" s="74"/>
      <c r="C43" s="75"/>
      <c r="D43" s="88">
        <f>IF((D42)="","",(D42)*D13)</f>
        <v>0</v>
      </c>
      <c r="E43" s="75"/>
      <c r="F43" s="20">
        <f t="shared" ref="F43:H43" si="1">IF((F42)="","",(F42)*F13)</f>
        <v>0</v>
      </c>
      <c r="G43" s="20">
        <f t="shared" si="1"/>
        <v>0</v>
      </c>
      <c r="H43" s="20">
        <f t="shared" si="1"/>
        <v>0</v>
      </c>
      <c r="I43" s="21">
        <f>IF((I42)="","",(I42)*I19)</f>
        <v>0</v>
      </c>
      <c r="J43" s="1"/>
      <c r="K43" s="1"/>
    </row>
    <row r="44" spans="1:11" ht="16.5" customHeight="1">
      <c r="A44" s="86" t="s">
        <v>111</v>
      </c>
      <c r="B44" s="71"/>
      <c r="C44" s="87"/>
      <c r="D44" s="70">
        <f>IF(J44="X","X",SUM(D43:I43))</f>
        <v>0</v>
      </c>
      <c r="E44" s="71"/>
      <c r="F44" s="71"/>
      <c r="G44" s="71"/>
      <c r="H44" s="71"/>
      <c r="I44" s="72"/>
      <c r="J44" s="22">
        <f>IF(OR(J41="X",J37="X",J33="X",J29="X",J25="X",J21="X",J17="X"),"X",1)</f>
        <v>1</v>
      </c>
      <c r="K44" s="1"/>
    </row>
    <row r="45" spans="1:11" ht="12.75" customHeight="1">
      <c r="A45" s="1"/>
      <c r="B45" s="1"/>
      <c r="C45" s="1"/>
      <c r="D45" s="1"/>
      <c r="E45" s="1"/>
      <c r="F45" s="1"/>
      <c r="G45" s="1"/>
      <c r="H45" s="1"/>
      <c r="I45" s="1"/>
      <c r="J45" s="1"/>
      <c r="K45" s="1"/>
    </row>
    <row r="46" spans="1:11" ht="12.75" customHeight="1">
      <c r="A46" s="1"/>
      <c r="B46" s="1"/>
      <c r="C46" s="1"/>
      <c r="D46" s="1"/>
      <c r="E46" s="1"/>
      <c r="F46" s="1"/>
      <c r="G46" s="1"/>
      <c r="H46" s="1"/>
      <c r="I46" s="1"/>
      <c r="J46" s="1"/>
      <c r="K46" s="1"/>
    </row>
    <row r="47" spans="1:11" ht="12.75" customHeight="1">
      <c r="A47" s="1"/>
      <c r="B47" s="1"/>
      <c r="C47" s="1"/>
      <c r="D47" s="1"/>
      <c r="E47" s="1"/>
      <c r="F47" s="1"/>
      <c r="G47" s="1"/>
      <c r="H47" s="1"/>
      <c r="I47" s="1"/>
      <c r="J47" s="1"/>
      <c r="K47" s="1"/>
    </row>
    <row r="48" spans="1:11" ht="12.75" customHeight="1">
      <c r="A48" s="1"/>
      <c r="B48" s="1"/>
      <c r="C48" s="1"/>
      <c r="D48" s="1"/>
      <c r="E48" s="1"/>
      <c r="F48" s="1"/>
      <c r="G48" s="1"/>
      <c r="H48" s="1"/>
      <c r="I48" s="1"/>
      <c r="J48" s="1"/>
      <c r="K48" s="1"/>
    </row>
    <row r="49" spans="1:11" ht="12.75" customHeight="1">
      <c r="A49" s="1"/>
      <c r="B49" s="1"/>
      <c r="C49" s="1"/>
      <c r="D49" s="1"/>
      <c r="E49" s="1"/>
      <c r="F49" s="1"/>
      <c r="G49" s="1"/>
      <c r="H49" s="1"/>
      <c r="I49" s="1"/>
      <c r="J49" s="1"/>
      <c r="K49" s="1"/>
    </row>
    <row r="50" spans="1:11" ht="12.75" customHeight="1">
      <c r="A50" s="1"/>
      <c r="B50" s="1"/>
      <c r="C50" s="1"/>
      <c r="D50" s="1"/>
      <c r="E50" s="1"/>
      <c r="F50" s="1"/>
      <c r="G50" s="1"/>
      <c r="H50" s="1"/>
      <c r="I50" s="1"/>
      <c r="J50" s="1"/>
      <c r="K50" s="1"/>
    </row>
    <row r="51" spans="1:11" ht="12.75" customHeight="1">
      <c r="A51" s="1"/>
      <c r="B51" s="1"/>
      <c r="C51" s="1"/>
      <c r="D51" s="1"/>
      <c r="E51" s="1"/>
      <c r="F51" s="1"/>
      <c r="G51" s="1"/>
      <c r="H51" s="1"/>
      <c r="I51" s="1"/>
      <c r="J51" s="1"/>
      <c r="K51" s="1"/>
    </row>
    <row r="52" spans="1:11" ht="12.75" customHeight="1">
      <c r="A52" s="1"/>
      <c r="B52" s="1"/>
      <c r="C52" s="1"/>
      <c r="D52" s="1"/>
      <c r="E52" s="1"/>
      <c r="F52" s="1"/>
      <c r="G52" s="1"/>
      <c r="H52" s="1"/>
      <c r="I52" s="1"/>
      <c r="J52" s="1"/>
      <c r="K52" s="1"/>
    </row>
    <row r="53" spans="1:11" ht="12.75" customHeight="1">
      <c r="A53" s="1"/>
      <c r="B53" s="1"/>
      <c r="C53" s="1"/>
      <c r="D53" s="1"/>
      <c r="E53" s="1"/>
      <c r="F53" s="1"/>
      <c r="G53" s="1"/>
      <c r="H53" s="1"/>
      <c r="I53" s="1"/>
      <c r="J53" s="1"/>
      <c r="K53" s="1"/>
    </row>
    <row r="54" spans="1:11" ht="12.75" customHeight="1">
      <c r="A54" s="1"/>
      <c r="B54" s="1"/>
      <c r="C54" s="1"/>
      <c r="D54" s="1"/>
      <c r="E54" s="1"/>
      <c r="F54" s="1"/>
      <c r="G54" s="1"/>
      <c r="H54" s="1"/>
      <c r="I54" s="1"/>
      <c r="J54" s="1"/>
      <c r="K54" s="1"/>
    </row>
    <row r="55" spans="1:11" ht="12.75" customHeight="1">
      <c r="A55" s="1"/>
      <c r="B55" s="1"/>
      <c r="C55" s="1"/>
      <c r="D55" s="1"/>
      <c r="E55" s="1"/>
      <c r="F55" s="1"/>
      <c r="G55" s="1"/>
      <c r="H55" s="1"/>
      <c r="I55" s="1"/>
      <c r="J55" s="1"/>
      <c r="K55" s="1"/>
    </row>
    <row r="56" spans="1:11" ht="12.75" customHeight="1">
      <c r="A56" s="1"/>
      <c r="B56" s="1"/>
      <c r="C56" s="1"/>
      <c r="D56" s="1"/>
      <c r="E56" s="1"/>
      <c r="F56" s="1"/>
      <c r="G56" s="1"/>
      <c r="H56" s="1"/>
      <c r="I56" s="1"/>
      <c r="J56" s="1"/>
      <c r="K56" s="1"/>
    </row>
    <row r="57" spans="1:11" ht="12.75" customHeight="1">
      <c r="A57" s="1"/>
      <c r="B57" s="1"/>
      <c r="C57" s="1"/>
      <c r="D57" s="1"/>
      <c r="E57" s="1"/>
      <c r="F57" s="1"/>
      <c r="G57" s="1"/>
      <c r="H57" s="1"/>
      <c r="I57" s="1"/>
      <c r="J57" s="1"/>
      <c r="K57" s="1"/>
    </row>
    <row r="58" spans="1:11" ht="12.75" customHeight="1">
      <c r="A58" s="1"/>
      <c r="B58" s="1"/>
      <c r="C58" s="1"/>
      <c r="D58" s="1"/>
      <c r="E58" s="1"/>
      <c r="F58" s="1"/>
      <c r="G58" s="1"/>
      <c r="H58" s="1"/>
      <c r="I58" s="1"/>
      <c r="J58" s="1"/>
      <c r="K58" s="1"/>
    </row>
    <row r="59" spans="1:11" ht="12.75" customHeight="1">
      <c r="A59" s="1"/>
      <c r="B59" s="1"/>
      <c r="C59" s="1"/>
      <c r="D59" s="1"/>
      <c r="E59" s="1"/>
      <c r="F59" s="1"/>
      <c r="G59" s="1"/>
      <c r="H59" s="1"/>
      <c r="I59" s="1"/>
      <c r="J59" s="1"/>
      <c r="K59" s="1"/>
    </row>
    <row r="60" spans="1:11" ht="12.75" customHeight="1">
      <c r="A60" s="1"/>
      <c r="B60" s="1"/>
      <c r="C60" s="1"/>
      <c r="D60" s="1"/>
      <c r="E60" s="1"/>
      <c r="F60" s="1"/>
      <c r="G60" s="1"/>
      <c r="H60" s="1"/>
      <c r="I60" s="1"/>
      <c r="J60" s="1"/>
      <c r="K60" s="1"/>
    </row>
    <row r="61" spans="1:11" ht="12.75" customHeight="1">
      <c r="A61" s="1"/>
      <c r="B61" s="1"/>
      <c r="C61" s="1"/>
      <c r="D61" s="1"/>
      <c r="E61" s="1"/>
      <c r="F61" s="1"/>
      <c r="G61" s="1"/>
      <c r="H61" s="1"/>
      <c r="I61" s="1"/>
      <c r="J61" s="1"/>
      <c r="K61" s="1"/>
    </row>
    <row r="62" spans="1:11" ht="12.75" customHeight="1">
      <c r="A62" s="1"/>
      <c r="B62" s="1"/>
      <c r="C62" s="1"/>
      <c r="D62" s="1"/>
      <c r="E62" s="1"/>
      <c r="F62" s="1"/>
      <c r="G62" s="1"/>
      <c r="H62" s="1"/>
      <c r="I62" s="1"/>
      <c r="J62" s="1"/>
      <c r="K62" s="1"/>
    </row>
    <row r="63" spans="1:11" ht="12.75" customHeight="1">
      <c r="A63" s="1"/>
      <c r="B63" s="1"/>
      <c r="C63" s="1"/>
      <c r="D63" s="1"/>
      <c r="E63" s="1"/>
      <c r="F63" s="1"/>
      <c r="G63" s="1"/>
      <c r="H63" s="1"/>
      <c r="I63" s="1"/>
      <c r="J63" s="1"/>
      <c r="K63" s="1"/>
    </row>
    <row r="64" spans="1:11" ht="12.75" customHeight="1">
      <c r="A64" s="1"/>
      <c r="B64" s="1"/>
      <c r="C64" s="1"/>
      <c r="D64" s="1"/>
      <c r="E64" s="1"/>
      <c r="F64" s="1"/>
      <c r="G64" s="1"/>
      <c r="H64" s="1"/>
      <c r="I64" s="1"/>
      <c r="J64" s="1"/>
      <c r="K64" s="1"/>
    </row>
    <row r="65" spans="1:11" ht="12.75" customHeight="1">
      <c r="A65" s="1"/>
      <c r="B65" s="1"/>
      <c r="C65" s="1"/>
      <c r="D65" s="1"/>
      <c r="E65" s="1"/>
      <c r="F65" s="1"/>
      <c r="G65" s="1"/>
      <c r="H65" s="1"/>
      <c r="I65" s="1"/>
      <c r="J65" s="1"/>
      <c r="K65" s="1"/>
    </row>
    <row r="66" spans="1:11" ht="12.75" customHeight="1">
      <c r="A66" s="1"/>
      <c r="B66" s="1"/>
      <c r="C66" s="1"/>
      <c r="D66" s="1"/>
      <c r="E66" s="1"/>
      <c r="F66" s="1"/>
      <c r="G66" s="1"/>
      <c r="H66" s="1"/>
      <c r="I66" s="1"/>
      <c r="J66" s="1"/>
      <c r="K66" s="1"/>
    </row>
    <row r="67" spans="1:11" ht="12.75" customHeight="1">
      <c r="A67" s="1"/>
      <c r="B67" s="1"/>
      <c r="C67" s="1"/>
      <c r="D67" s="1"/>
      <c r="E67" s="1"/>
      <c r="F67" s="1"/>
      <c r="G67" s="1"/>
      <c r="H67" s="1"/>
      <c r="I67" s="1"/>
      <c r="J67" s="1"/>
      <c r="K67" s="1"/>
    </row>
    <row r="68" spans="1:11" ht="12.75" hidden="1" customHeight="1">
      <c r="A68" s="1"/>
      <c r="B68" s="1"/>
      <c r="C68" s="1"/>
      <c r="D68" s="1"/>
      <c r="E68" s="1"/>
      <c r="F68" s="1"/>
      <c r="G68" s="1"/>
      <c r="H68" s="1"/>
      <c r="I68" s="1"/>
      <c r="J68" s="1"/>
      <c r="K68" s="1"/>
    </row>
    <row r="69" spans="1:11" ht="12.75" hidden="1" customHeight="1">
      <c r="A69" s="1"/>
      <c r="B69" s="1"/>
      <c r="C69" s="1"/>
      <c r="D69" s="1"/>
      <c r="E69" s="1"/>
      <c r="F69" s="1"/>
      <c r="G69" s="1"/>
      <c r="H69" s="1"/>
      <c r="I69" s="1"/>
      <c r="J69" s="1"/>
      <c r="K69" s="1"/>
    </row>
    <row r="70" spans="1:11" ht="12.75" hidden="1" customHeight="1">
      <c r="A70" s="1"/>
      <c r="B70" s="1"/>
      <c r="C70" s="1"/>
      <c r="D70" s="1"/>
      <c r="E70" s="1"/>
      <c r="F70" s="1"/>
      <c r="G70" s="1"/>
      <c r="H70" s="1"/>
      <c r="I70" s="1"/>
      <c r="J70" s="1"/>
      <c r="K70" s="1"/>
    </row>
    <row r="71" spans="1:11" ht="12.75" hidden="1" customHeight="1">
      <c r="A71" s="1"/>
      <c r="B71" s="1"/>
      <c r="C71" s="1"/>
      <c r="D71" s="1"/>
      <c r="E71" s="1"/>
      <c r="F71" s="1"/>
      <c r="G71" s="1"/>
      <c r="H71" s="1"/>
      <c r="I71" s="1"/>
      <c r="J71" s="1"/>
      <c r="K71" s="1"/>
    </row>
    <row r="72" spans="1:11" ht="12.75" hidden="1" customHeight="1">
      <c r="A72" s="1"/>
      <c r="B72" s="1"/>
      <c r="C72" s="1"/>
      <c r="D72" s="1"/>
      <c r="E72" s="1"/>
      <c r="F72" s="1"/>
      <c r="G72" s="1"/>
      <c r="H72" s="1"/>
      <c r="I72" s="1"/>
      <c r="J72" s="1"/>
      <c r="K72" s="1"/>
    </row>
    <row r="73" spans="1:11" ht="12.75" hidden="1" customHeight="1">
      <c r="A73" s="1"/>
      <c r="B73" s="1"/>
      <c r="C73" s="1"/>
      <c r="D73" s="1"/>
      <c r="E73" s="1"/>
      <c r="F73" s="1"/>
      <c r="G73" s="1"/>
      <c r="H73" s="1"/>
      <c r="I73" s="1"/>
      <c r="J73" s="1"/>
      <c r="K73" s="1"/>
    </row>
    <row r="74" spans="1:11" ht="12.75" hidden="1" customHeight="1">
      <c r="A74" s="1"/>
      <c r="B74" s="1"/>
      <c r="C74" s="1"/>
      <c r="D74" s="1"/>
      <c r="E74" s="1"/>
      <c r="F74" s="1"/>
      <c r="G74" s="1"/>
      <c r="H74" s="1"/>
      <c r="I74" s="1"/>
      <c r="J74" s="1"/>
      <c r="K74" s="1"/>
    </row>
    <row r="75" spans="1:11" ht="12.75" hidden="1" customHeight="1">
      <c r="A75" s="1"/>
      <c r="B75" s="1"/>
      <c r="C75" s="1"/>
      <c r="D75" s="1"/>
      <c r="E75" s="23"/>
      <c r="F75" s="1"/>
      <c r="G75" s="1"/>
      <c r="H75" s="1"/>
      <c r="I75" s="1"/>
      <c r="J75" s="1"/>
      <c r="K75" s="1"/>
    </row>
    <row r="76" spans="1:11" ht="12.75" hidden="1" customHeight="1">
      <c r="A76" s="1"/>
      <c r="B76" s="1"/>
      <c r="C76" s="24"/>
      <c r="D76" s="1"/>
      <c r="E76" s="23"/>
      <c r="F76" s="1"/>
      <c r="G76" s="1"/>
      <c r="H76" s="1"/>
      <c r="I76" s="1"/>
      <c r="J76" s="1"/>
      <c r="K76" s="1"/>
    </row>
    <row r="77" spans="1:11" ht="12.75" hidden="1" customHeight="1">
      <c r="A77" s="1"/>
      <c r="B77" s="76"/>
      <c r="C77" s="77"/>
      <c r="D77" s="1"/>
      <c r="E77" s="23"/>
      <c r="F77" s="1"/>
      <c r="G77" s="1"/>
      <c r="H77" s="1"/>
      <c r="I77" s="1"/>
      <c r="J77" s="1"/>
      <c r="K77" s="1"/>
    </row>
    <row r="78" spans="1:11" ht="12.75" hidden="1" customHeight="1">
      <c r="A78" s="1"/>
      <c r="B78" s="77"/>
      <c r="C78" s="77"/>
      <c r="D78" s="1"/>
      <c r="E78" s="1"/>
      <c r="F78" s="1"/>
      <c r="G78" s="1"/>
      <c r="H78" s="1"/>
      <c r="I78" s="1"/>
      <c r="J78" s="1"/>
      <c r="K78" s="1"/>
    </row>
    <row r="79" spans="1:11" ht="12.75" hidden="1" customHeight="1">
      <c r="A79" s="1"/>
      <c r="B79" s="1"/>
      <c r="C79" s="1"/>
      <c r="D79" s="1"/>
      <c r="E79" s="1"/>
      <c r="F79" s="1"/>
      <c r="G79" s="1"/>
      <c r="H79" s="1"/>
      <c r="I79" s="1"/>
      <c r="J79" s="1"/>
      <c r="K79" s="1"/>
    </row>
    <row r="80" spans="1:11" ht="12.75" customHeight="1">
      <c r="A80" s="1"/>
      <c r="B80" s="1"/>
      <c r="C80" s="1"/>
      <c r="D80" s="1"/>
      <c r="E80" s="1"/>
      <c r="F80" s="1"/>
      <c r="G80" s="1"/>
      <c r="H80" s="1"/>
      <c r="I80" s="1"/>
      <c r="J80" s="1"/>
      <c r="K80" s="1"/>
    </row>
    <row r="81" spans="1:11" ht="12.75" customHeight="1">
      <c r="A81" s="1"/>
      <c r="B81" s="1"/>
      <c r="C81" s="1"/>
      <c r="D81" s="1"/>
      <c r="E81" s="1"/>
      <c r="F81" s="1"/>
      <c r="G81" s="1"/>
      <c r="H81" s="1"/>
      <c r="I81" s="1"/>
      <c r="J81" s="1"/>
      <c r="K81" s="1"/>
    </row>
    <row r="82" spans="1:11" ht="12.75" customHeight="1">
      <c r="A82" s="1"/>
      <c r="B82" s="1"/>
      <c r="C82" s="1"/>
      <c r="D82" s="1"/>
      <c r="E82" s="1"/>
      <c r="F82" s="1"/>
      <c r="G82" s="1"/>
      <c r="H82" s="1"/>
      <c r="I82" s="1"/>
      <c r="J82" s="1"/>
      <c r="K82" s="1"/>
    </row>
    <row r="83" spans="1:11" ht="12.75" customHeight="1">
      <c r="A83" s="1"/>
      <c r="B83" s="1"/>
      <c r="C83" s="1"/>
      <c r="D83" s="1"/>
      <c r="E83" s="1"/>
      <c r="F83" s="1"/>
      <c r="G83" s="1"/>
      <c r="H83" s="1"/>
      <c r="I83" s="1"/>
      <c r="J83" s="1"/>
      <c r="K83" s="1"/>
    </row>
    <row r="84" spans="1:11" ht="12.75" customHeight="1">
      <c r="A84" s="1"/>
      <c r="B84" s="1"/>
      <c r="C84" s="1"/>
      <c r="D84" s="1"/>
      <c r="E84" s="1"/>
      <c r="F84" s="1"/>
      <c r="G84" s="1"/>
      <c r="H84" s="1"/>
      <c r="I84" s="1"/>
      <c r="J84" s="1"/>
      <c r="K84" s="1"/>
    </row>
    <row r="85" spans="1:11" ht="12.75" customHeight="1">
      <c r="A85" s="1"/>
      <c r="B85" s="1"/>
      <c r="C85" s="1"/>
      <c r="D85" s="1"/>
      <c r="E85" s="1"/>
      <c r="F85" s="1"/>
      <c r="G85" s="1"/>
      <c r="H85" s="1"/>
      <c r="I85" s="1"/>
      <c r="J85" s="1"/>
      <c r="K85" s="1"/>
    </row>
    <row r="86" spans="1:11" ht="12.75" customHeight="1">
      <c r="A86" s="1"/>
      <c r="B86" s="1"/>
      <c r="C86" s="1"/>
      <c r="D86" s="1"/>
      <c r="E86" s="1"/>
      <c r="F86" s="1"/>
      <c r="G86" s="1"/>
      <c r="H86" s="1"/>
      <c r="I86" s="1"/>
      <c r="J86" s="1"/>
      <c r="K86" s="1"/>
    </row>
    <row r="87" spans="1:11" ht="12.75" customHeight="1">
      <c r="A87" s="1"/>
      <c r="B87" s="1"/>
      <c r="C87" s="1"/>
      <c r="D87" s="1"/>
      <c r="E87" s="1"/>
      <c r="F87" s="1"/>
      <c r="G87" s="1"/>
      <c r="H87" s="1"/>
      <c r="I87" s="1"/>
      <c r="J87" s="1"/>
      <c r="K87" s="1"/>
    </row>
    <row r="88" spans="1:11" ht="12.75" customHeight="1">
      <c r="A88" s="1"/>
      <c r="B88" s="1"/>
      <c r="C88" s="1"/>
      <c r="D88" s="1"/>
      <c r="E88" s="1"/>
      <c r="F88" s="1"/>
      <c r="G88" s="1"/>
      <c r="H88" s="1"/>
      <c r="I88" s="1"/>
      <c r="J88" s="1"/>
      <c r="K88" s="1"/>
    </row>
    <row r="89" spans="1:11" ht="12.75" customHeight="1">
      <c r="A89" s="1"/>
      <c r="B89" s="1"/>
      <c r="C89" s="1"/>
      <c r="D89" s="1"/>
      <c r="E89" s="1"/>
      <c r="F89" s="1"/>
      <c r="G89" s="1"/>
      <c r="H89" s="1"/>
      <c r="I89" s="1"/>
      <c r="J89" s="1"/>
      <c r="K89" s="1"/>
    </row>
    <row r="90" spans="1:11" ht="12.75" customHeight="1">
      <c r="A90" s="1"/>
      <c r="B90" s="1"/>
      <c r="C90" s="1"/>
      <c r="D90" s="1"/>
      <c r="E90" s="1"/>
      <c r="F90" s="1"/>
      <c r="G90" s="1"/>
      <c r="H90" s="1"/>
      <c r="I90" s="1"/>
      <c r="J90" s="1"/>
      <c r="K90" s="1"/>
    </row>
    <row r="91" spans="1:11" ht="12.75" customHeight="1">
      <c r="A91" s="1"/>
      <c r="B91" s="1"/>
      <c r="C91" s="1"/>
      <c r="D91" s="1"/>
      <c r="E91" s="1"/>
      <c r="F91" s="1"/>
      <c r="G91" s="1"/>
      <c r="H91" s="1"/>
      <c r="I91" s="1"/>
      <c r="J91" s="1"/>
      <c r="K91" s="1"/>
    </row>
    <row r="92" spans="1:11" ht="12.75" customHeight="1">
      <c r="A92" s="1"/>
      <c r="B92" s="1"/>
      <c r="C92" s="1"/>
      <c r="D92" s="1"/>
      <c r="E92" s="1"/>
      <c r="F92" s="1"/>
      <c r="G92" s="1"/>
      <c r="H92" s="1"/>
      <c r="I92" s="1"/>
      <c r="J92" s="1"/>
      <c r="K92" s="1"/>
    </row>
    <row r="93" spans="1:11" ht="12.75" customHeight="1">
      <c r="A93" s="1"/>
      <c r="B93" s="1"/>
      <c r="C93" s="1"/>
      <c r="D93" s="1"/>
      <c r="E93" s="1"/>
      <c r="F93" s="1"/>
      <c r="G93" s="1"/>
      <c r="H93" s="1"/>
      <c r="I93" s="1"/>
      <c r="J93" s="1"/>
      <c r="K93" s="1"/>
    </row>
    <row r="94" spans="1:11" ht="12.75" customHeight="1">
      <c r="A94" s="1"/>
      <c r="B94" s="1"/>
      <c r="C94" s="1"/>
      <c r="D94" s="1"/>
      <c r="E94" s="1"/>
      <c r="F94" s="1"/>
      <c r="G94" s="1"/>
      <c r="H94" s="1"/>
      <c r="I94" s="1"/>
      <c r="J94" s="1"/>
      <c r="K94" s="1"/>
    </row>
    <row r="95" spans="1:11" ht="12.75" customHeight="1">
      <c r="A95" s="1"/>
      <c r="B95" s="1"/>
      <c r="C95" s="1"/>
      <c r="D95" s="1"/>
      <c r="E95" s="1"/>
      <c r="F95" s="1"/>
      <c r="G95" s="1"/>
      <c r="H95" s="1"/>
      <c r="I95" s="1"/>
      <c r="J95" s="1"/>
      <c r="K95" s="1"/>
    </row>
    <row r="96" spans="1:11" ht="12.75" customHeight="1">
      <c r="A96" s="1"/>
      <c r="B96" s="1"/>
      <c r="C96" s="1"/>
      <c r="D96" s="1"/>
      <c r="E96" s="1"/>
      <c r="F96" s="1"/>
      <c r="G96" s="1"/>
      <c r="H96" s="1"/>
      <c r="I96" s="1"/>
      <c r="J96" s="1"/>
      <c r="K96" s="1"/>
    </row>
    <row r="97" spans="1:11" ht="12.75" customHeight="1">
      <c r="A97" s="1"/>
      <c r="B97" s="1"/>
      <c r="C97" s="1"/>
      <c r="D97" s="1"/>
      <c r="E97" s="1"/>
      <c r="F97" s="1"/>
      <c r="G97" s="1"/>
      <c r="H97" s="1"/>
      <c r="I97" s="1"/>
      <c r="J97" s="1"/>
      <c r="K97" s="1"/>
    </row>
    <row r="98" spans="1:11" ht="12.75" customHeight="1">
      <c r="A98" s="1"/>
      <c r="B98" s="1"/>
      <c r="C98" s="1"/>
      <c r="D98" s="1"/>
      <c r="E98" s="1"/>
      <c r="F98" s="1"/>
      <c r="G98" s="1"/>
      <c r="H98" s="1"/>
      <c r="I98" s="1"/>
      <c r="J98" s="1"/>
      <c r="K98" s="1"/>
    </row>
    <row r="99" spans="1:11" ht="12.75" customHeight="1">
      <c r="A99" s="1"/>
      <c r="B99" s="1"/>
      <c r="C99" s="1"/>
      <c r="D99" s="1"/>
      <c r="E99" s="1"/>
      <c r="F99" s="1"/>
      <c r="G99" s="1"/>
      <c r="H99" s="1"/>
      <c r="I99" s="1"/>
      <c r="J99" s="1"/>
      <c r="K99" s="1"/>
    </row>
    <row r="100" spans="1:11" ht="12.75" customHeight="1">
      <c r="A100" s="1"/>
      <c r="B100" s="1"/>
      <c r="C100" s="1"/>
      <c r="D100" s="1"/>
      <c r="E100" s="1"/>
      <c r="F100" s="1"/>
      <c r="G100" s="1"/>
      <c r="H100" s="1"/>
      <c r="I100" s="1"/>
      <c r="J100" s="1"/>
      <c r="K100" s="1"/>
    </row>
  </sheetData>
  <mergeCells count="76">
    <mergeCell ref="A10:I10"/>
    <mergeCell ref="A4:I4"/>
    <mergeCell ref="A5:B5"/>
    <mergeCell ref="C5:I5"/>
    <mergeCell ref="A6:I6"/>
    <mergeCell ref="A7:I7"/>
    <mergeCell ref="A8:I8"/>
    <mergeCell ref="A9:I9"/>
    <mergeCell ref="D43:E43"/>
    <mergeCell ref="A44:C44"/>
    <mergeCell ref="B34:C36"/>
    <mergeCell ref="A37:C37"/>
    <mergeCell ref="B77:C78"/>
    <mergeCell ref="D41:E41"/>
    <mergeCell ref="D37:E37"/>
    <mergeCell ref="A41:C41"/>
    <mergeCell ref="A43:C43"/>
    <mergeCell ref="D44:I44"/>
    <mergeCell ref="A38:A40"/>
    <mergeCell ref="B38:C40"/>
    <mergeCell ref="A42:C42"/>
    <mergeCell ref="A34:A36"/>
    <mergeCell ref="A33:C33"/>
    <mergeCell ref="H26:H28"/>
    <mergeCell ref="I26:I28"/>
    <mergeCell ref="F26:F28"/>
    <mergeCell ref="D42:E42"/>
    <mergeCell ref="G34:G36"/>
    <mergeCell ref="F38:F40"/>
    <mergeCell ref="G38:G40"/>
    <mergeCell ref="H38:H40"/>
    <mergeCell ref="I38:I40"/>
    <mergeCell ref="D33:E33"/>
    <mergeCell ref="H34:H36"/>
    <mergeCell ref="F34:F36"/>
    <mergeCell ref="I34:I36"/>
    <mergeCell ref="H30:H32"/>
    <mergeCell ref="I30:I32"/>
    <mergeCell ref="D29:E29"/>
    <mergeCell ref="F30:F32"/>
    <mergeCell ref="A22:A24"/>
    <mergeCell ref="A25:C25"/>
    <mergeCell ref="G30:G32"/>
    <mergeCell ref="G26:G28"/>
    <mergeCell ref="D25:E25"/>
    <mergeCell ref="B26:C28"/>
    <mergeCell ref="A29:C29"/>
    <mergeCell ref="A30:A32"/>
    <mergeCell ref="B30:C32"/>
    <mergeCell ref="A26:A28"/>
    <mergeCell ref="I22:I24"/>
    <mergeCell ref="A21:C21"/>
    <mergeCell ref="A17:C17"/>
    <mergeCell ref="A18:A20"/>
    <mergeCell ref="B18:C20"/>
    <mergeCell ref="D17:E17"/>
    <mergeCell ref="F18:F20"/>
    <mergeCell ref="G18:G20"/>
    <mergeCell ref="I18:I20"/>
    <mergeCell ref="H18:H20"/>
    <mergeCell ref="B22:C24"/>
    <mergeCell ref="F22:F24"/>
    <mergeCell ref="G22:G24"/>
    <mergeCell ref="H22:H24"/>
    <mergeCell ref="D21:E21"/>
    <mergeCell ref="A11:I11"/>
    <mergeCell ref="D12:I12"/>
    <mergeCell ref="F14:F16"/>
    <mergeCell ref="I14:I16"/>
    <mergeCell ref="A12:C12"/>
    <mergeCell ref="A13:C13"/>
    <mergeCell ref="B14:C16"/>
    <mergeCell ref="A14:A16"/>
    <mergeCell ref="D13:E13"/>
    <mergeCell ref="G14:G16"/>
    <mergeCell ref="H14:H16"/>
  </mergeCells>
  <conditionalFormatting sqref="J17">
    <cfRule type="expression" dxfId="22" priority="1">
      <formula>"X"</formula>
    </cfRule>
  </conditionalFormatting>
  <conditionalFormatting sqref="J21">
    <cfRule type="expression" dxfId="21" priority="2">
      <formula>"X"</formula>
    </cfRule>
  </conditionalFormatting>
  <conditionalFormatting sqref="J25">
    <cfRule type="expression" dxfId="20" priority="3">
      <formula>"X"</formula>
    </cfRule>
  </conditionalFormatting>
  <conditionalFormatting sqref="J29">
    <cfRule type="expression" dxfId="19" priority="4">
      <formula>"X"</formula>
    </cfRule>
  </conditionalFormatting>
  <conditionalFormatting sqref="J33">
    <cfRule type="expression" dxfId="18" priority="5">
      <formula>"X"</formula>
    </cfRule>
  </conditionalFormatting>
  <conditionalFormatting sqref="J37">
    <cfRule type="expression" dxfId="17" priority="6">
      <formula>"X"</formula>
    </cfRule>
  </conditionalFormatting>
  <conditionalFormatting sqref="J41">
    <cfRule type="expression" dxfId="16" priority="7">
      <formula>"X"</formula>
    </cfRule>
  </conditionalFormatting>
  <pageMargins left="0.196527777777778" right="0" top="0" bottom="0" header="0" footer="0"/>
  <pageSetup paperSize="9" scale="83"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
  <sheetViews>
    <sheetView showGridLines="0" topLeftCell="A10" workbookViewId="0">
      <selection activeCell="D29" sqref="D29:E29"/>
    </sheetView>
  </sheetViews>
  <sheetFormatPr defaultColWidth="14.36328125" defaultRowHeight="15" customHeight="1"/>
  <cols>
    <col min="1" max="1" width="7.36328125" customWidth="1"/>
    <col min="2" max="2" width="13" customWidth="1"/>
    <col min="3" max="3" width="8.7265625" customWidth="1"/>
    <col min="4" max="4" width="3" customWidth="1"/>
    <col min="5" max="5" width="33.1796875" customWidth="1"/>
    <col min="6" max="6" width="14.26953125" customWidth="1"/>
    <col min="7" max="7" width="14.36328125" customWidth="1"/>
    <col min="8" max="9" width="13.453125" customWidth="1"/>
    <col min="10" max="10" width="4.7265625" customWidth="1"/>
    <col min="11" max="11" width="8.7265625" customWidth="1"/>
  </cols>
  <sheetData>
    <row r="1" spans="1:11" ht="12.75" customHeight="1">
      <c r="A1" s="26"/>
      <c r="B1" s="26"/>
      <c r="C1" s="1"/>
      <c r="D1" s="1"/>
      <c r="E1" s="1"/>
      <c r="F1" s="1"/>
      <c r="G1" s="1"/>
      <c r="H1" s="1"/>
      <c r="I1" s="1"/>
      <c r="J1" s="27"/>
      <c r="K1" s="1"/>
    </row>
    <row r="2" spans="1:11" ht="12.75" customHeight="1">
      <c r="A2" s="26"/>
      <c r="B2" s="6" t="s">
        <v>7</v>
      </c>
      <c r="C2" s="1" t="s">
        <v>8</v>
      </c>
      <c r="D2" s="1"/>
      <c r="E2" s="1"/>
      <c r="F2" s="1"/>
      <c r="G2" s="1"/>
      <c r="H2" s="1"/>
      <c r="I2" s="1"/>
      <c r="J2" s="27"/>
      <c r="K2" s="1"/>
    </row>
    <row r="3" spans="1:11" ht="12.75" customHeight="1">
      <c r="A3" s="1"/>
      <c r="B3" s="1"/>
      <c r="C3" s="1"/>
      <c r="D3" s="1"/>
      <c r="E3" s="1"/>
      <c r="F3" s="1"/>
      <c r="G3" s="1"/>
      <c r="H3" s="1"/>
      <c r="I3" s="1"/>
      <c r="J3" s="1"/>
      <c r="K3" s="1"/>
    </row>
    <row r="4" spans="1:11" ht="12.75" customHeight="1">
      <c r="A4" s="56" t="s">
        <v>93</v>
      </c>
      <c r="B4" s="57"/>
      <c r="C4" s="57"/>
      <c r="D4" s="57"/>
      <c r="E4" s="57"/>
      <c r="F4" s="57"/>
      <c r="G4" s="57"/>
      <c r="H4" s="57"/>
      <c r="I4" s="58"/>
      <c r="J4" s="1"/>
      <c r="K4" s="1"/>
    </row>
    <row r="5" spans="1:11" ht="12.75" customHeight="1">
      <c r="A5" s="61" t="s">
        <v>112</v>
      </c>
      <c r="B5" s="62"/>
      <c r="C5" s="63"/>
      <c r="D5" s="51"/>
      <c r="E5" s="51"/>
      <c r="F5" s="51"/>
      <c r="G5" s="51"/>
      <c r="H5" s="51"/>
      <c r="I5" s="52"/>
      <c r="J5" s="1"/>
      <c r="K5" s="1"/>
    </row>
    <row r="6" spans="1:11" ht="12.75" customHeight="1">
      <c r="A6" s="53" t="s">
        <v>13</v>
      </c>
      <c r="B6" s="51"/>
      <c r="C6" s="51"/>
      <c r="D6" s="51"/>
      <c r="E6" s="51"/>
      <c r="F6" s="51"/>
      <c r="G6" s="51"/>
      <c r="H6" s="51"/>
      <c r="I6" s="52"/>
      <c r="J6" s="1"/>
      <c r="K6" s="1"/>
    </row>
    <row r="7" spans="1:11" ht="27" customHeight="1">
      <c r="A7" s="50" t="s">
        <v>95</v>
      </c>
      <c r="B7" s="51"/>
      <c r="C7" s="51"/>
      <c r="D7" s="51"/>
      <c r="E7" s="51"/>
      <c r="F7" s="51"/>
      <c r="G7" s="51"/>
      <c r="H7" s="51"/>
      <c r="I7" s="52"/>
      <c r="J7" s="1"/>
      <c r="K7" s="1"/>
    </row>
    <row r="8" spans="1:11" ht="12.75" customHeight="1">
      <c r="A8" s="53" t="s">
        <v>15</v>
      </c>
      <c r="B8" s="51"/>
      <c r="C8" s="51"/>
      <c r="D8" s="51"/>
      <c r="E8" s="51"/>
      <c r="F8" s="51"/>
      <c r="G8" s="51"/>
      <c r="H8" s="51"/>
      <c r="I8" s="52"/>
      <c r="J8" s="1"/>
      <c r="K8" s="1"/>
    </row>
    <row r="9" spans="1:11" ht="27" customHeight="1">
      <c r="A9" s="54" t="s">
        <v>113</v>
      </c>
      <c r="B9" s="51"/>
      <c r="C9" s="51"/>
      <c r="D9" s="51"/>
      <c r="E9" s="51"/>
      <c r="F9" s="51"/>
      <c r="G9" s="51"/>
      <c r="H9" s="51"/>
      <c r="I9" s="52"/>
      <c r="J9" s="1"/>
      <c r="K9" s="1"/>
    </row>
    <row r="10" spans="1:11" ht="12.75" customHeight="1">
      <c r="A10" s="53" t="s">
        <v>17</v>
      </c>
      <c r="B10" s="51"/>
      <c r="C10" s="51"/>
      <c r="D10" s="51"/>
      <c r="E10" s="51"/>
      <c r="F10" s="51"/>
      <c r="G10" s="51"/>
      <c r="H10" s="51"/>
      <c r="I10" s="52"/>
      <c r="J10" s="1"/>
      <c r="K10" s="1"/>
    </row>
    <row r="11" spans="1:11" ht="41" customHeight="1">
      <c r="A11" s="50" t="s">
        <v>114</v>
      </c>
      <c r="B11" s="51"/>
      <c r="C11" s="51"/>
      <c r="D11" s="51"/>
      <c r="E11" s="51"/>
      <c r="F11" s="51"/>
      <c r="G11" s="51"/>
      <c r="H11" s="51"/>
      <c r="I11" s="52"/>
      <c r="J11" s="1"/>
      <c r="K11" s="1"/>
    </row>
    <row r="12" spans="1:11" ht="15.75" customHeight="1">
      <c r="A12" s="105" t="s">
        <v>19</v>
      </c>
      <c r="B12" s="51"/>
      <c r="C12" s="62"/>
      <c r="D12" s="106" t="s">
        <v>20</v>
      </c>
      <c r="E12" s="51"/>
      <c r="F12" s="51"/>
      <c r="G12" s="51"/>
      <c r="H12" s="51"/>
      <c r="I12" s="52"/>
      <c r="J12" s="1"/>
      <c r="K12" s="1"/>
    </row>
    <row r="13" spans="1:11" ht="41.25" customHeight="1">
      <c r="A13" s="107" t="s">
        <v>115</v>
      </c>
      <c r="B13" s="51"/>
      <c r="C13" s="62"/>
      <c r="D13" s="108">
        <v>4</v>
      </c>
      <c r="E13" s="109"/>
      <c r="F13" s="9">
        <v>3</v>
      </c>
      <c r="G13" s="9">
        <v>2</v>
      </c>
      <c r="H13" s="9">
        <v>1</v>
      </c>
      <c r="I13" s="10">
        <v>0</v>
      </c>
      <c r="J13" s="1"/>
      <c r="K13" s="1"/>
    </row>
    <row r="14" spans="1:11" ht="17.25" customHeight="1">
      <c r="A14" s="110" t="s">
        <v>22</v>
      </c>
      <c r="B14" s="78" t="s">
        <v>116</v>
      </c>
      <c r="C14" s="79"/>
      <c r="D14" s="11" t="s">
        <v>24</v>
      </c>
      <c r="E14" s="12" t="s">
        <v>117</v>
      </c>
      <c r="F14" s="111" t="s">
        <v>26</v>
      </c>
      <c r="G14" s="103" t="s">
        <v>27</v>
      </c>
      <c r="H14" s="103" t="s">
        <v>28</v>
      </c>
      <c r="I14" s="104" t="s">
        <v>29</v>
      </c>
      <c r="J14" s="13"/>
      <c r="K14" s="1"/>
    </row>
    <row r="15" spans="1:11" ht="25.5" customHeight="1">
      <c r="A15" s="90"/>
      <c r="B15" s="80"/>
      <c r="C15" s="77"/>
      <c r="D15" s="14" t="s">
        <v>30</v>
      </c>
      <c r="E15" s="15" t="s">
        <v>63</v>
      </c>
      <c r="F15" s="101"/>
      <c r="G15" s="65"/>
      <c r="H15" s="65"/>
      <c r="I15" s="68"/>
      <c r="J15" s="13"/>
      <c r="K15" s="1"/>
    </row>
    <row r="16" spans="1:11" ht="29.5" customHeight="1">
      <c r="A16" s="91"/>
      <c r="B16" s="81"/>
      <c r="C16" s="82"/>
      <c r="D16" s="16" t="s">
        <v>32</v>
      </c>
      <c r="E16" s="17" t="s">
        <v>51</v>
      </c>
      <c r="F16" s="102"/>
      <c r="G16" s="66"/>
      <c r="H16" s="66"/>
      <c r="I16" s="69"/>
      <c r="J16" s="13"/>
      <c r="K16" s="1"/>
    </row>
    <row r="17" spans="1:11" ht="14.25" customHeight="1">
      <c r="A17" s="84" t="s">
        <v>34</v>
      </c>
      <c r="B17" s="74"/>
      <c r="C17" s="75"/>
      <c r="D17" s="85"/>
      <c r="E17" s="75"/>
      <c r="F17" s="18"/>
      <c r="G17" s="18"/>
      <c r="H17" s="18"/>
      <c r="I17" s="19"/>
      <c r="J17" s="13">
        <f>IF((D17+F17+G17+H17+I17)&gt;1,"X",IF((D17+F17+G17+H17+I17)=0,0,""))</f>
        <v>0</v>
      </c>
      <c r="K17" s="1"/>
    </row>
    <row r="18" spans="1:11" ht="15" customHeight="1">
      <c r="A18" s="89" t="s">
        <v>35</v>
      </c>
      <c r="B18" s="83" t="s">
        <v>118</v>
      </c>
      <c r="C18" s="77"/>
      <c r="D18" s="14" t="s">
        <v>24</v>
      </c>
      <c r="E18" s="15" t="s">
        <v>117</v>
      </c>
      <c r="F18" s="100" t="s">
        <v>26</v>
      </c>
      <c r="G18" s="64" t="s">
        <v>27</v>
      </c>
      <c r="H18" s="64" t="s">
        <v>28</v>
      </c>
      <c r="I18" s="67" t="s">
        <v>29</v>
      </c>
      <c r="J18" s="13"/>
      <c r="K18" s="1"/>
    </row>
    <row r="19" spans="1:11" ht="25.5" customHeight="1">
      <c r="A19" s="90"/>
      <c r="B19" s="80"/>
      <c r="C19" s="77"/>
      <c r="D19" s="14" t="s">
        <v>30</v>
      </c>
      <c r="E19" s="15" t="s">
        <v>63</v>
      </c>
      <c r="F19" s="101"/>
      <c r="G19" s="65"/>
      <c r="H19" s="65"/>
      <c r="I19" s="68"/>
      <c r="J19" s="13"/>
      <c r="K19" s="1"/>
    </row>
    <row r="20" spans="1:11" ht="35.5" customHeight="1">
      <c r="A20" s="91"/>
      <c r="B20" s="81"/>
      <c r="C20" s="82"/>
      <c r="D20" s="16" t="s">
        <v>32</v>
      </c>
      <c r="E20" s="17" t="s">
        <v>51</v>
      </c>
      <c r="F20" s="102"/>
      <c r="G20" s="66"/>
      <c r="H20" s="66"/>
      <c r="I20" s="69"/>
      <c r="J20" s="13"/>
      <c r="K20" s="1"/>
    </row>
    <row r="21" spans="1:11" ht="14.25" customHeight="1">
      <c r="A21" s="84" t="s">
        <v>34</v>
      </c>
      <c r="B21" s="74"/>
      <c r="C21" s="75"/>
      <c r="D21" s="85"/>
      <c r="E21" s="75"/>
      <c r="F21" s="18"/>
      <c r="G21" s="18"/>
      <c r="H21" s="18"/>
      <c r="I21" s="19"/>
      <c r="J21" s="13">
        <f>IF((D21+F21+G21+H21+I21)&gt;1,"X",IF((D21+F21+G21+H21+I21)=0,0,""))</f>
        <v>0</v>
      </c>
      <c r="K21" s="1"/>
    </row>
    <row r="22" spans="1:11" ht="13.5" customHeight="1">
      <c r="A22" s="89" t="s">
        <v>37</v>
      </c>
      <c r="B22" s="83" t="s">
        <v>119</v>
      </c>
      <c r="C22" s="77"/>
      <c r="D22" s="14" t="s">
        <v>24</v>
      </c>
      <c r="E22" s="15" t="s">
        <v>120</v>
      </c>
      <c r="F22" s="100" t="s">
        <v>26</v>
      </c>
      <c r="G22" s="64" t="s">
        <v>27</v>
      </c>
      <c r="H22" s="64" t="s">
        <v>28</v>
      </c>
      <c r="I22" s="67" t="s">
        <v>29</v>
      </c>
      <c r="J22" s="13"/>
      <c r="K22" s="1"/>
    </row>
    <row r="23" spans="1:11" ht="28.5" customHeight="1">
      <c r="A23" s="90"/>
      <c r="B23" s="80"/>
      <c r="C23" s="77"/>
      <c r="D23" s="14" t="s">
        <v>30</v>
      </c>
      <c r="E23" s="15" t="s">
        <v>63</v>
      </c>
      <c r="F23" s="101"/>
      <c r="G23" s="65"/>
      <c r="H23" s="65"/>
      <c r="I23" s="68"/>
      <c r="J23" s="13"/>
      <c r="K23" s="1"/>
    </row>
    <row r="24" spans="1:11" ht="26.25" customHeight="1">
      <c r="A24" s="91"/>
      <c r="B24" s="81"/>
      <c r="C24" s="82"/>
      <c r="D24" s="16" t="s">
        <v>32</v>
      </c>
      <c r="E24" s="17" t="s">
        <v>51</v>
      </c>
      <c r="F24" s="102"/>
      <c r="G24" s="66"/>
      <c r="H24" s="66"/>
      <c r="I24" s="69"/>
      <c r="J24" s="13"/>
      <c r="K24" s="1"/>
    </row>
    <row r="25" spans="1:11" ht="23" customHeight="1">
      <c r="A25" s="84" t="s">
        <v>34</v>
      </c>
      <c r="B25" s="74"/>
      <c r="C25" s="75"/>
      <c r="D25" s="85"/>
      <c r="E25" s="75"/>
      <c r="F25" s="18"/>
      <c r="G25" s="18"/>
      <c r="H25" s="18"/>
      <c r="I25" s="19"/>
      <c r="J25" s="13">
        <f>IF((D25+F25+G25+H25+I25)&gt;1,"X",IF((D25+F25+G25+H25+I25)=0,0,""))</f>
        <v>0</v>
      </c>
      <c r="K25" s="1"/>
    </row>
    <row r="26" spans="1:11" ht="18" customHeight="1">
      <c r="A26" s="89" t="s">
        <v>66</v>
      </c>
      <c r="B26" s="83" t="s">
        <v>121</v>
      </c>
      <c r="C26" s="77"/>
      <c r="D26" s="14" t="s">
        <v>24</v>
      </c>
      <c r="E26" s="15" t="s">
        <v>117</v>
      </c>
      <c r="F26" s="100" t="s">
        <v>26</v>
      </c>
      <c r="G26" s="64" t="s">
        <v>27</v>
      </c>
      <c r="H26" s="64" t="s">
        <v>28</v>
      </c>
      <c r="I26" s="67" t="s">
        <v>29</v>
      </c>
      <c r="J26" s="13"/>
      <c r="K26" s="1"/>
    </row>
    <row r="27" spans="1:11" ht="26.25" customHeight="1">
      <c r="A27" s="90"/>
      <c r="B27" s="80"/>
      <c r="C27" s="77"/>
      <c r="D27" s="14" t="s">
        <v>30</v>
      </c>
      <c r="E27" s="15" t="s">
        <v>63</v>
      </c>
      <c r="F27" s="101"/>
      <c r="G27" s="65"/>
      <c r="H27" s="65"/>
      <c r="I27" s="68"/>
      <c r="J27" s="13"/>
      <c r="K27" s="1"/>
    </row>
    <row r="28" spans="1:11" ht="31.5" customHeight="1">
      <c r="A28" s="91"/>
      <c r="B28" s="81"/>
      <c r="C28" s="82"/>
      <c r="D28" s="16" t="s">
        <v>32</v>
      </c>
      <c r="E28" s="17" t="s">
        <v>51</v>
      </c>
      <c r="F28" s="102"/>
      <c r="G28" s="66"/>
      <c r="H28" s="66"/>
      <c r="I28" s="69"/>
      <c r="J28" s="13"/>
      <c r="K28" s="1"/>
    </row>
    <row r="29" spans="1:11" ht="14.25" customHeight="1">
      <c r="A29" s="84" t="s">
        <v>34</v>
      </c>
      <c r="B29" s="74"/>
      <c r="C29" s="75"/>
      <c r="D29" s="85"/>
      <c r="E29" s="75"/>
      <c r="F29" s="18"/>
      <c r="G29" s="18"/>
      <c r="H29" s="18"/>
      <c r="I29" s="19"/>
      <c r="J29" s="13">
        <f>IF((D29+F29+G29+H29+I29)&gt;1,"X",IF((D29+F29+G29+H29+I29)=0,0,""))</f>
        <v>0</v>
      </c>
      <c r="K29" s="1"/>
    </row>
    <row r="30" spans="1:11" ht="16.5" customHeight="1">
      <c r="A30" s="73" t="s">
        <v>122</v>
      </c>
      <c r="B30" s="74"/>
      <c r="C30" s="75"/>
      <c r="D30" s="88">
        <f>IF(SUM(D17+D21+D25+D29)="","",(SUM(D17+D21+D25+D29)))</f>
        <v>0</v>
      </c>
      <c r="E30" s="75"/>
      <c r="F30" s="20">
        <f t="shared" ref="F30:I30" si="0">IF(SUM(F17+F21+F25+F29)="","",(SUM(F17+F21+F25+F29)))</f>
        <v>0</v>
      </c>
      <c r="G30" s="20">
        <f t="shared" si="0"/>
        <v>0</v>
      </c>
      <c r="H30" s="20">
        <f t="shared" si="0"/>
        <v>0</v>
      </c>
      <c r="I30" s="21">
        <f t="shared" si="0"/>
        <v>0</v>
      </c>
      <c r="J30" s="1"/>
      <c r="K30" s="1"/>
    </row>
    <row r="31" spans="1:11" ht="16.5" customHeight="1">
      <c r="A31" s="73" t="s">
        <v>40</v>
      </c>
      <c r="B31" s="74"/>
      <c r="C31" s="75"/>
      <c r="D31" s="88">
        <f>IF((D30)="","",(D30)*D13)</f>
        <v>0</v>
      </c>
      <c r="E31" s="75"/>
      <c r="F31" s="20">
        <f t="shared" ref="F31:I31" si="1">IF((F30)="","",(F30)*F13)</f>
        <v>0</v>
      </c>
      <c r="G31" s="20">
        <f t="shared" si="1"/>
        <v>0</v>
      </c>
      <c r="H31" s="20">
        <f t="shared" si="1"/>
        <v>0</v>
      </c>
      <c r="I31" s="21">
        <f t="shared" si="1"/>
        <v>0</v>
      </c>
      <c r="J31" s="1"/>
      <c r="K31" s="1"/>
    </row>
    <row r="32" spans="1:11" ht="16.5" customHeight="1">
      <c r="A32" s="86" t="s">
        <v>123</v>
      </c>
      <c r="B32" s="71"/>
      <c r="C32" s="87"/>
      <c r="D32" s="70">
        <f>IF(J32="X","X",SUM(D31:I31))</f>
        <v>0</v>
      </c>
      <c r="E32" s="71"/>
      <c r="F32" s="71"/>
      <c r="G32" s="71"/>
      <c r="H32" s="71"/>
      <c r="I32" s="72"/>
      <c r="J32" s="22">
        <f>IF(OR(J29="X",J25="X",J21="X",J17="X"),"X",1)</f>
        <v>1</v>
      </c>
      <c r="K32" s="1"/>
    </row>
    <row r="33" spans="1:11" ht="12.75" customHeight="1">
      <c r="A33" s="1"/>
      <c r="B33" s="1"/>
      <c r="C33" s="1"/>
      <c r="D33" s="1"/>
      <c r="E33" s="1"/>
      <c r="F33" s="1"/>
      <c r="G33" s="1"/>
      <c r="H33" s="1"/>
      <c r="I33" s="1"/>
      <c r="J33" s="1"/>
      <c r="K33" s="1"/>
    </row>
    <row r="34" spans="1:11" ht="12.75" customHeight="1">
      <c r="A34" s="1"/>
      <c r="B34" s="1"/>
      <c r="C34" s="1"/>
      <c r="D34" s="1"/>
      <c r="E34" s="1"/>
      <c r="F34" s="1"/>
      <c r="G34" s="1"/>
      <c r="H34" s="1"/>
      <c r="I34" s="1"/>
      <c r="J34" s="1"/>
      <c r="K34" s="1"/>
    </row>
    <row r="35" spans="1:11" ht="12.75" hidden="1" customHeight="1">
      <c r="A35" s="1"/>
      <c r="B35" s="1"/>
      <c r="C35" s="1"/>
      <c r="D35" s="1"/>
      <c r="E35" s="1"/>
      <c r="F35" s="1"/>
      <c r="G35" s="1"/>
      <c r="H35" s="1"/>
      <c r="I35" s="1"/>
      <c r="J35" s="1"/>
      <c r="K35" s="1"/>
    </row>
    <row r="36" spans="1:11" ht="12.75" hidden="1" customHeight="1">
      <c r="A36" s="1"/>
      <c r="B36" s="1"/>
      <c r="C36" s="1"/>
      <c r="D36" s="1"/>
      <c r="E36" s="1"/>
      <c r="F36" s="1"/>
      <c r="G36" s="1"/>
      <c r="H36" s="1"/>
      <c r="I36" s="1"/>
      <c r="J36" s="1"/>
      <c r="K36" s="1"/>
    </row>
    <row r="37" spans="1:11" ht="12.75" hidden="1" customHeight="1">
      <c r="A37" s="1"/>
      <c r="B37" s="1"/>
      <c r="C37" s="1"/>
      <c r="D37" s="1"/>
      <c r="E37" s="1"/>
      <c r="F37" s="1"/>
      <c r="G37" s="1"/>
      <c r="H37" s="1"/>
      <c r="I37" s="1"/>
      <c r="J37" s="1"/>
      <c r="K37" s="1"/>
    </row>
    <row r="38" spans="1:11" ht="12.75" hidden="1" customHeight="1">
      <c r="A38" s="1"/>
      <c r="B38" s="1"/>
      <c r="C38" s="1"/>
      <c r="D38" s="1"/>
      <c r="E38" s="1"/>
      <c r="F38" s="1"/>
      <c r="G38" s="1"/>
      <c r="H38" s="1"/>
      <c r="I38" s="1"/>
      <c r="J38" s="1"/>
      <c r="K38" s="1"/>
    </row>
    <row r="39" spans="1:11" ht="12.75" hidden="1" customHeight="1">
      <c r="A39" s="1"/>
      <c r="B39" s="1"/>
      <c r="C39" s="1"/>
      <c r="D39" s="1"/>
      <c r="E39" s="1"/>
      <c r="F39" s="1"/>
      <c r="G39" s="1"/>
      <c r="H39" s="1"/>
      <c r="I39" s="1"/>
      <c r="J39" s="1"/>
      <c r="K39" s="1"/>
    </row>
    <row r="40" spans="1:11" ht="12.75" hidden="1" customHeight="1">
      <c r="A40" s="1"/>
      <c r="B40" s="1"/>
      <c r="C40" s="1"/>
      <c r="D40" s="1"/>
      <c r="E40" s="1"/>
      <c r="F40" s="1"/>
      <c r="G40" s="1"/>
      <c r="H40" s="1"/>
      <c r="I40" s="1"/>
      <c r="J40" s="1"/>
      <c r="K40" s="1"/>
    </row>
    <row r="41" spans="1:11" ht="12.75" hidden="1" customHeight="1">
      <c r="A41" s="1"/>
      <c r="B41" s="1"/>
      <c r="C41" s="1"/>
      <c r="D41" s="1"/>
      <c r="E41" s="1"/>
      <c r="F41" s="1"/>
      <c r="G41" s="1"/>
      <c r="H41" s="1"/>
      <c r="I41" s="1"/>
      <c r="J41" s="1"/>
      <c r="K41" s="1"/>
    </row>
    <row r="42" spans="1:11" ht="12.75" hidden="1" customHeight="1">
      <c r="A42" s="1"/>
      <c r="B42" s="1"/>
      <c r="C42" s="1"/>
      <c r="D42" s="1"/>
      <c r="E42" s="1"/>
      <c r="F42" s="1"/>
      <c r="G42" s="1"/>
      <c r="H42" s="1"/>
      <c r="I42" s="1"/>
      <c r="J42" s="1"/>
      <c r="K42" s="1"/>
    </row>
    <row r="43" spans="1:11" ht="12.75" hidden="1" customHeight="1">
      <c r="A43" s="1"/>
      <c r="B43" s="1"/>
      <c r="C43" s="1"/>
      <c r="D43" s="1"/>
      <c r="E43" s="1"/>
      <c r="F43" s="1"/>
      <c r="G43" s="1"/>
      <c r="H43" s="1"/>
      <c r="I43" s="1"/>
      <c r="J43" s="1"/>
      <c r="K43" s="1"/>
    </row>
    <row r="44" spans="1:11" ht="12.75" hidden="1" customHeight="1">
      <c r="A44" s="1"/>
      <c r="B44" s="1"/>
      <c r="C44" s="1"/>
      <c r="D44" s="1"/>
      <c r="E44" s="1"/>
      <c r="F44" s="1"/>
      <c r="G44" s="1"/>
      <c r="H44" s="1"/>
      <c r="I44" s="1"/>
      <c r="J44" s="1"/>
      <c r="K44" s="1"/>
    </row>
    <row r="45" spans="1:11" ht="12.75" hidden="1" customHeight="1">
      <c r="A45" s="1"/>
      <c r="B45" s="1"/>
      <c r="C45" s="1"/>
      <c r="D45" s="1"/>
      <c r="E45" s="1"/>
      <c r="F45" s="1"/>
      <c r="G45" s="1"/>
      <c r="H45" s="1"/>
      <c r="I45" s="1"/>
      <c r="J45" s="1"/>
      <c r="K45" s="1"/>
    </row>
    <row r="46" spans="1:11" ht="12.75" hidden="1" customHeight="1">
      <c r="A46" s="1"/>
      <c r="B46" s="1"/>
      <c r="C46" s="1"/>
      <c r="D46" s="1"/>
      <c r="E46" s="1"/>
      <c r="F46" s="1"/>
      <c r="G46" s="1"/>
      <c r="H46" s="1"/>
      <c r="I46" s="1"/>
      <c r="J46" s="1"/>
      <c r="K46" s="1"/>
    </row>
    <row r="47" spans="1:11" ht="12.75" hidden="1" customHeight="1">
      <c r="A47" s="1"/>
      <c r="B47" s="1"/>
      <c r="C47" s="1"/>
      <c r="D47" s="1"/>
      <c r="E47" s="1"/>
      <c r="F47" s="1"/>
      <c r="G47" s="1"/>
      <c r="H47" s="1"/>
      <c r="I47" s="1"/>
      <c r="J47" s="1"/>
      <c r="K47" s="1"/>
    </row>
    <row r="48" spans="1:11" ht="12.75" hidden="1" customHeight="1">
      <c r="A48" s="1"/>
      <c r="B48" s="1"/>
      <c r="C48" s="1"/>
      <c r="D48" s="1"/>
      <c r="E48" s="1"/>
      <c r="F48" s="1"/>
      <c r="G48" s="1"/>
      <c r="H48" s="1"/>
      <c r="I48" s="1"/>
      <c r="J48" s="1"/>
      <c r="K48" s="1"/>
    </row>
    <row r="49" spans="1:11" ht="12.75" hidden="1" customHeight="1">
      <c r="A49" s="1"/>
      <c r="B49" s="1"/>
      <c r="C49" s="1"/>
      <c r="D49" s="1"/>
      <c r="E49" s="1"/>
      <c r="F49" s="1"/>
      <c r="G49" s="1"/>
      <c r="H49" s="1"/>
      <c r="I49" s="1"/>
      <c r="J49" s="1"/>
      <c r="K49" s="1"/>
    </row>
    <row r="50" spans="1:11" ht="12.75" hidden="1" customHeight="1">
      <c r="A50" s="1"/>
      <c r="B50" s="1"/>
      <c r="C50" s="1"/>
      <c r="D50" s="1"/>
      <c r="E50" s="1"/>
      <c r="F50" s="1"/>
      <c r="G50" s="1"/>
      <c r="H50" s="1"/>
      <c r="I50" s="1"/>
      <c r="J50" s="1"/>
      <c r="K50" s="1"/>
    </row>
    <row r="51" spans="1:11" ht="12.75" hidden="1" customHeight="1">
      <c r="A51" s="1"/>
      <c r="B51" s="1"/>
      <c r="C51" s="1"/>
      <c r="D51" s="1"/>
      <c r="E51" s="1"/>
      <c r="F51" s="1"/>
      <c r="G51" s="1"/>
      <c r="H51" s="1"/>
      <c r="I51" s="1"/>
      <c r="J51" s="1"/>
      <c r="K51" s="1"/>
    </row>
    <row r="52" spans="1:11" ht="12.75" customHeight="1">
      <c r="A52" s="1"/>
      <c r="B52" s="1"/>
      <c r="C52" s="1"/>
      <c r="D52" s="1"/>
      <c r="E52" s="1"/>
      <c r="F52" s="1"/>
      <c r="G52" s="1"/>
      <c r="H52" s="1"/>
      <c r="I52" s="1"/>
      <c r="J52" s="1"/>
      <c r="K52" s="1"/>
    </row>
    <row r="53" spans="1:11" ht="12.75" customHeight="1">
      <c r="A53" s="1"/>
      <c r="B53" s="1"/>
      <c r="C53" s="1"/>
      <c r="D53" s="1"/>
      <c r="E53" s="1"/>
      <c r="F53" s="1"/>
      <c r="G53" s="1"/>
      <c r="H53" s="1"/>
      <c r="I53" s="1"/>
      <c r="J53" s="1"/>
      <c r="K53" s="1"/>
    </row>
    <row r="54" spans="1:11" ht="12.75" customHeight="1">
      <c r="A54" s="1"/>
      <c r="B54" s="1"/>
      <c r="C54" s="1"/>
      <c r="D54" s="1"/>
      <c r="E54" s="1"/>
      <c r="F54" s="1"/>
      <c r="G54" s="1"/>
      <c r="H54" s="1"/>
      <c r="I54" s="1"/>
      <c r="J54" s="1"/>
      <c r="K54" s="1"/>
    </row>
    <row r="55" spans="1:11" ht="12.75" customHeight="1">
      <c r="A55" s="1"/>
      <c r="B55" s="1"/>
      <c r="C55" s="1"/>
      <c r="D55" s="1"/>
      <c r="E55" s="1"/>
      <c r="F55" s="1"/>
      <c r="G55" s="1"/>
      <c r="H55" s="1"/>
      <c r="I55" s="1"/>
      <c r="J55" s="1"/>
      <c r="K55" s="1"/>
    </row>
    <row r="56" spans="1:11" ht="12.75" customHeight="1">
      <c r="A56" s="1"/>
      <c r="B56" s="1"/>
      <c r="C56" s="1"/>
      <c r="D56" s="1"/>
      <c r="E56" s="1"/>
      <c r="F56" s="1"/>
      <c r="G56" s="1"/>
      <c r="H56" s="1"/>
      <c r="I56" s="1"/>
      <c r="J56" s="1"/>
      <c r="K56" s="1"/>
    </row>
    <row r="57" spans="1:11" ht="12.75" customHeight="1">
      <c r="A57" s="1"/>
      <c r="B57" s="1"/>
      <c r="C57" s="1"/>
      <c r="D57" s="1"/>
      <c r="E57" s="1"/>
      <c r="F57" s="1"/>
      <c r="G57" s="1"/>
      <c r="H57" s="1"/>
      <c r="I57" s="1"/>
      <c r="J57" s="1"/>
      <c r="K57" s="1"/>
    </row>
    <row r="58" spans="1:11" ht="12.75" hidden="1" customHeight="1">
      <c r="A58" s="1"/>
      <c r="B58" s="1"/>
      <c r="C58" s="1"/>
      <c r="D58" s="1"/>
      <c r="E58" s="23"/>
      <c r="F58" s="1"/>
      <c r="G58" s="1"/>
      <c r="H58" s="1"/>
      <c r="I58" s="1"/>
      <c r="J58" s="1"/>
      <c r="K58" s="1"/>
    </row>
    <row r="59" spans="1:11" ht="12.75" hidden="1" customHeight="1">
      <c r="A59" s="1"/>
      <c r="B59" s="1"/>
      <c r="C59" s="24"/>
      <c r="D59" s="1"/>
      <c r="E59" s="23"/>
      <c r="F59" s="1"/>
      <c r="G59" s="1"/>
      <c r="H59" s="1"/>
      <c r="I59" s="1"/>
      <c r="J59" s="1"/>
      <c r="K59" s="1"/>
    </row>
    <row r="60" spans="1:11" ht="12.75" hidden="1" customHeight="1">
      <c r="A60" s="1"/>
      <c r="B60" s="76"/>
      <c r="C60" s="77"/>
      <c r="D60" s="1"/>
      <c r="E60" s="23"/>
      <c r="F60" s="1"/>
      <c r="G60" s="1"/>
      <c r="H60" s="1"/>
      <c r="I60" s="1"/>
      <c r="J60" s="1"/>
      <c r="K60" s="1"/>
    </row>
    <row r="61" spans="1:11" ht="12.75" hidden="1" customHeight="1">
      <c r="A61" s="1"/>
      <c r="B61" s="77"/>
      <c r="C61" s="77"/>
      <c r="D61" s="1"/>
      <c r="E61" s="1"/>
      <c r="F61" s="1"/>
      <c r="G61" s="1"/>
      <c r="H61" s="1"/>
      <c r="I61" s="1"/>
      <c r="J61" s="1"/>
      <c r="K61" s="1"/>
    </row>
    <row r="62" spans="1:11" ht="12.75" customHeight="1">
      <c r="A62" s="1"/>
      <c r="B62" s="1"/>
      <c r="C62" s="1"/>
      <c r="D62" s="1"/>
      <c r="E62" s="1"/>
      <c r="F62" s="1"/>
      <c r="G62" s="1"/>
      <c r="H62" s="1"/>
      <c r="I62" s="1"/>
      <c r="J62" s="1"/>
      <c r="K62" s="1"/>
    </row>
    <row r="63" spans="1:11" ht="12.75" customHeight="1">
      <c r="A63" s="1"/>
      <c r="B63" s="1"/>
      <c r="C63" s="1"/>
      <c r="D63" s="1"/>
      <c r="E63" s="1"/>
      <c r="F63" s="1"/>
      <c r="G63" s="1"/>
      <c r="H63" s="1"/>
      <c r="I63" s="1"/>
      <c r="J63" s="1"/>
      <c r="K63" s="1"/>
    </row>
    <row r="64" spans="1:11" ht="12.75" customHeight="1">
      <c r="A64" s="1"/>
      <c r="B64" s="1"/>
      <c r="C64" s="1"/>
      <c r="D64" s="1"/>
      <c r="E64" s="1"/>
      <c r="F64" s="1"/>
      <c r="G64" s="1"/>
      <c r="H64" s="1"/>
      <c r="I64" s="1"/>
      <c r="J64" s="1"/>
      <c r="K64" s="1"/>
    </row>
    <row r="65" spans="1:11" ht="12.75" customHeight="1">
      <c r="A65" s="1"/>
      <c r="B65" s="1"/>
      <c r="C65" s="1"/>
      <c r="D65" s="1"/>
      <c r="E65" s="1"/>
      <c r="F65" s="1"/>
      <c r="G65" s="1"/>
      <c r="H65" s="1"/>
      <c r="I65" s="1"/>
      <c r="J65" s="1"/>
      <c r="K65" s="1"/>
    </row>
    <row r="66" spans="1:11" ht="12.75" customHeight="1">
      <c r="A66" s="1"/>
      <c r="B66" s="1"/>
      <c r="C66" s="1"/>
      <c r="D66" s="1"/>
      <c r="E66" s="1"/>
      <c r="F66" s="1"/>
      <c r="G66" s="1"/>
      <c r="H66" s="1"/>
      <c r="I66" s="1"/>
      <c r="J66" s="1"/>
      <c r="K66" s="1"/>
    </row>
    <row r="67" spans="1:11" ht="12.75" customHeight="1">
      <c r="A67" s="1"/>
      <c r="B67" s="1"/>
      <c r="C67" s="1"/>
      <c r="D67" s="1"/>
      <c r="E67" s="1"/>
      <c r="F67" s="1"/>
      <c r="G67" s="1"/>
      <c r="H67" s="1"/>
      <c r="I67" s="1"/>
      <c r="J67" s="1"/>
      <c r="K67" s="1"/>
    </row>
    <row r="68" spans="1:11" ht="12.75" customHeight="1">
      <c r="A68" s="1"/>
      <c r="B68" s="1"/>
      <c r="C68" s="1"/>
      <c r="D68" s="1"/>
      <c r="E68" s="1"/>
      <c r="F68" s="1"/>
      <c r="G68" s="1"/>
      <c r="H68" s="1"/>
      <c r="I68" s="1"/>
      <c r="J68" s="1"/>
      <c r="K68" s="1"/>
    </row>
    <row r="69" spans="1:11" ht="12.75" customHeight="1">
      <c r="A69" s="1"/>
      <c r="B69" s="1"/>
      <c r="C69" s="1"/>
      <c r="D69" s="1"/>
      <c r="E69" s="1"/>
      <c r="F69" s="1"/>
      <c r="G69" s="1"/>
      <c r="H69" s="1"/>
      <c r="I69" s="1"/>
      <c r="J69" s="1"/>
      <c r="K69" s="1"/>
    </row>
    <row r="70" spans="1:11" ht="12.75" customHeight="1">
      <c r="A70" s="1"/>
      <c r="B70" s="1"/>
      <c r="C70" s="1"/>
      <c r="D70" s="1"/>
      <c r="E70" s="1"/>
      <c r="F70" s="1"/>
      <c r="G70" s="1"/>
      <c r="H70" s="1"/>
      <c r="I70" s="1"/>
      <c r="J70" s="1"/>
      <c r="K70" s="1"/>
    </row>
    <row r="71" spans="1:11" ht="12.75" customHeight="1">
      <c r="A71" s="1"/>
      <c r="B71" s="1"/>
      <c r="C71" s="1"/>
      <c r="D71" s="1"/>
      <c r="E71" s="1"/>
      <c r="F71" s="1"/>
      <c r="G71" s="1"/>
      <c r="H71" s="1"/>
      <c r="I71" s="1"/>
      <c r="J71" s="1"/>
      <c r="K71" s="1"/>
    </row>
    <row r="72" spans="1:11" ht="12.75" customHeight="1">
      <c r="A72" s="1"/>
      <c r="B72" s="1"/>
      <c r="C72" s="1"/>
      <c r="D72" s="1"/>
      <c r="E72" s="1"/>
      <c r="F72" s="1"/>
      <c r="G72" s="1"/>
      <c r="H72" s="1"/>
      <c r="I72" s="1"/>
      <c r="J72" s="1"/>
      <c r="K72" s="1"/>
    </row>
    <row r="73" spans="1:11" ht="12.75" customHeight="1">
      <c r="A73" s="1"/>
      <c r="B73" s="1"/>
      <c r="C73" s="1"/>
      <c r="D73" s="1"/>
      <c r="E73" s="1"/>
      <c r="F73" s="1"/>
      <c r="G73" s="1"/>
      <c r="H73" s="1"/>
      <c r="I73" s="1"/>
      <c r="J73" s="1"/>
      <c r="K73" s="1"/>
    </row>
    <row r="74" spans="1:11" ht="12.75" customHeight="1">
      <c r="A74" s="1"/>
      <c r="B74" s="1"/>
      <c r="C74" s="1"/>
      <c r="D74" s="1"/>
      <c r="E74" s="1"/>
      <c r="F74" s="1"/>
      <c r="G74" s="1"/>
      <c r="H74" s="1"/>
      <c r="I74" s="1"/>
      <c r="J74" s="1"/>
      <c r="K74" s="1"/>
    </row>
    <row r="75" spans="1:11" ht="12.75" customHeight="1">
      <c r="A75" s="1"/>
      <c r="B75" s="1"/>
      <c r="C75" s="1"/>
      <c r="D75" s="1"/>
      <c r="E75" s="1"/>
      <c r="F75" s="1"/>
      <c r="G75" s="1"/>
      <c r="H75" s="1"/>
      <c r="I75" s="1"/>
      <c r="J75" s="1"/>
      <c r="K75" s="1"/>
    </row>
    <row r="76" spans="1:11" ht="12.75" customHeight="1">
      <c r="A76" s="1"/>
      <c r="B76" s="1"/>
      <c r="C76" s="1"/>
      <c r="D76" s="1"/>
      <c r="E76" s="1"/>
      <c r="F76" s="1"/>
      <c r="G76" s="1"/>
      <c r="H76" s="1"/>
      <c r="I76" s="1"/>
      <c r="J76" s="1"/>
      <c r="K76" s="1"/>
    </row>
    <row r="77" spans="1:11" ht="12.75" customHeight="1">
      <c r="A77" s="1"/>
      <c r="B77" s="1"/>
      <c r="C77" s="1"/>
      <c r="D77" s="1"/>
      <c r="E77" s="1"/>
      <c r="F77" s="1"/>
      <c r="G77" s="1"/>
      <c r="H77" s="1"/>
      <c r="I77" s="1"/>
      <c r="J77" s="1"/>
      <c r="K77" s="1"/>
    </row>
    <row r="78" spans="1:11" ht="12.75" customHeight="1">
      <c r="A78" s="1"/>
      <c r="B78" s="1"/>
      <c r="C78" s="1"/>
      <c r="D78" s="1"/>
      <c r="E78" s="1"/>
      <c r="F78" s="1"/>
      <c r="G78" s="1"/>
      <c r="H78" s="1"/>
      <c r="I78" s="1"/>
      <c r="J78" s="1"/>
      <c r="K78" s="1"/>
    </row>
    <row r="79" spans="1:11" ht="12.75" customHeight="1">
      <c r="A79" s="1"/>
      <c r="B79" s="1"/>
      <c r="C79" s="1"/>
      <c r="D79" s="1"/>
      <c r="E79" s="1"/>
      <c r="F79" s="1"/>
      <c r="G79" s="1"/>
      <c r="H79" s="1"/>
      <c r="I79" s="1"/>
      <c r="J79" s="1"/>
      <c r="K79" s="1"/>
    </row>
    <row r="80" spans="1:11" ht="12.75" customHeight="1">
      <c r="A80" s="1"/>
      <c r="B80" s="1"/>
      <c r="C80" s="1"/>
      <c r="D80" s="1"/>
      <c r="E80" s="1"/>
      <c r="F80" s="1"/>
      <c r="G80" s="1"/>
      <c r="H80" s="1"/>
      <c r="I80" s="1"/>
      <c r="J80" s="1"/>
      <c r="K80" s="1"/>
    </row>
    <row r="81" spans="1:11" ht="12.75" customHeight="1">
      <c r="A81" s="1"/>
      <c r="B81" s="1"/>
      <c r="C81" s="1"/>
      <c r="D81" s="1"/>
      <c r="E81" s="1"/>
      <c r="F81" s="1"/>
      <c r="G81" s="1"/>
      <c r="H81" s="1"/>
      <c r="I81" s="1"/>
      <c r="J81" s="1"/>
      <c r="K81" s="1"/>
    </row>
    <row r="82" spans="1:11" ht="12.75" customHeight="1">
      <c r="A82" s="1"/>
      <c r="B82" s="1"/>
      <c r="C82" s="1"/>
      <c r="D82" s="1"/>
      <c r="E82" s="1"/>
      <c r="F82" s="1"/>
      <c r="G82" s="1"/>
      <c r="H82" s="1"/>
      <c r="I82" s="1"/>
      <c r="J82" s="1"/>
      <c r="K82" s="1"/>
    </row>
    <row r="83" spans="1:11" ht="12.75" customHeight="1">
      <c r="A83" s="1"/>
      <c r="B83" s="1"/>
      <c r="C83" s="1"/>
      <c r="D83" s="1"/>
      <c r="E83" s="1"/>
      <c r="F83" s="1"/>
      <c r="G83" s="1"/>
      <c r="H83" s="1"/>
      <c r="I83" s="1"/>
      <c r="J83" s="1"/>
      <c r="K83" s="1"/>
    </row>
    <row r="84" spans="1:11" ht="12.75" customHeight="1">
      <c r="A84" s="1"/>
      <c r="B84" s="1"/>
      <c r="C84" s="1"/>
      <c r="D84" s="1"/>
      <c r="E84" s="1"/>
      <c r="F84" s="1"/>
      <c r="G84" s="1"/>
      <c r="H84" s="1"/>
      <c r="I84" s="1"/>
      <c r="J84" s="1"/>
      <c r="K84" s="1"/>
    </row>
    <row r="85" spans="1:11" ht="12.75" customHeight="1">
      <c r="A85" s="1"/>
      <c r="B85" s="1"/>
      <c r="C85" s="1"/>
      <c r="D85" s="1"/>
      <c r="E85" s="1"/>
      <c r="F85" s="1"/>
      <c r="G85" s="1"/>
      <c r="H85" s="1"/>
      <c r="I85" s="1"/>
      <c r="J85" s="1"/>
      <c r="K85" s="1"/>
    </row>
    <row r="86" spans="1:11" ht="12.75" customHeight="1">
      <c r="A86" s="1"/>
      <c r="B86" s="1"/>
      <c r="C86" s="1"/>
      <c r="D86" s="1"/>
      <c r="E86" s="1"/>
      <c r="F86" s="1"/>
      <c r="G86" s="1"/>
      <c r="H86" s="1"/>
      <c r="I86" s="1"/>
      <c r="J86" s="1"/>
      <c r="K86" s="1"/>
    </row>
    <row r="87" spans="1:11" ht="12.75" customHeight="1">
      <c r="A87" s="1"/>
      <c r="B87" s="1"/>
      <c r="C87" s="1"/>
      <c r="D87" s="1"/>
      <c r="E87" s="1"/>
      <c r="F87" s="1"/>
      <c r="G87" s="1"/>
      <c r="H87" s="1"/>
      <c r="I87" s="1"/>
      <c r="J87" s="1"/>
      <c r="K87" s="1"/>
    </row>
    <row r="88" spans="1:11" ht="12.75" customHeight="1">
      <c r="A88" s="1"/>
      <c r="B88" s="1"/>
      <c r="C88" s="1"/>
      <c r="D88" s="1"/>
      <c r="E88" s="1"/>
      <c r="F88" s="1"/>
      <c r="G88" s="1"/>
      <c r="H88" s="1"/>
      <c r="I88" s="1"/>
      <c r="J88" s="1"/>
      <c r="K88" s="1"/>
    </row>
    <row r="89" spans="1:11" ht="12.75" customHeight="1">
      <c r="A89" s="1"/>
      <c r="B89" s="1"/>
      <c r="C89" s="1"/>
      <c r="D89" s="1"/>
      <c r="E89" s="1"/>
      <c r="F89" s="1"/>
      <c r="G89" s="1"/>
      <c r="H89" s="1"/>
      <c r="I89" s="1"/>
      <c r="J89" s="1"/>
      <c r="K89" s="1"/>
    </row>
    <row r="90" spans="1:11" ht="12.75" customHeight="1">
      <c r="A90" s="1"/>
      <c r="B90" s="1"/>
      <c r="C90" s="1"/>
      <c r="D90" s="1"/>
      <c r="E90" s="1"/>
      <c r="F90" s="1"/>
      <c r="G90" s="1"/>
      <c r="H90" s="1"/>
      <c r="I90" s="1"/>
      <c r="J90" s="1"/>
      <c r="K90" s="1"/>
    </row>
    <row r="91" spans="1:11" ht="12.75" customHeight="1">
      <c r="A91" s="1"/>
      <c r="B91" s="1"/>
      <c r="C91" s="1"/>
      <c r="D91" s="1"/>
      <c r="E91" s="1"/>
      <c r="F91" s="1"/>
      <c r="G91" s="1"/>
      <c r="H91" s="1"/>
      <c r="I91" s="1"/>
      <c r="J91" s="1"/>
      <c r="K91" s="1"/>
    </row>
    <row r="92" spans="1:11" ht="12.75" customHeight="1">
      <c r="A92" s="1"/>
      <c r="B92" s="1"/>
      <c r="C92" s="1"/>
      <c r="D92" s="1"/>
      <c r="E92" s="1"/>
      <c r="F92" s="1"/>
      <c r="G92" s="1"/>
      <c r="H92" s="1"/>
      <c r="I92" s="1"/>
      <c r="J92" s="1"/>
      <c r="K92" s="1"/>
    </row>
    <row r="93" spans="1:11" ht="12.75" customHeight="1">
      <c r="A93" s="1"/>
      <c r="B93" s="1"/>
      <c r="C93" s="1"/>
      <c r="D93" s="1"/>
      <c r="E93" s="1"/>
      <c r="F93" s="1"/>
      <c r="G93" s="1"/>
      <c r="H93" s="1"/>
      <c r="I93" s="1"/>
      <c r="J93" s="1"/>
      <c r="K93" s="1"/>
    </row>
    <row r="94" spans="1:11" ht="12.75" customHeight="1">
      <c r="A94" s="1"/>
      <c r="B94" s="1"/>
      <c r="C94" s="1"/>
      <c r="D94" s="1"/>
      <c r="E94" s="1"/>
      <c r="F94" s="1"/>
      <c r="G94" s="1"/>
      <c r="H94" s="1"/>
      <c r="I94" s="1"/>
      <c r="J94" s="1"/>
      <c r="K94" s="1"/>
    </row>
    <row r="95" spans="1:11" ht="12.75" customHeight="1">
      <c r="A95" s="1"/>
      <c r="B95" s="1"/>
      <c r="C95" s="1"/>
      <c r="D95" s="1"/>
      <c r="E95" s="1"/>
      <c r="F95" s="1"/>
      <c r="G95" s="1"/>
      <c r="H95" s="1"/>
      <c r="I95" s="1"/>
      <c r="J95" s="1"/>
      <c r="K95" s="1"/>
    </row>
    <row r="96" spans="1:11" ht="12.75" customHeight="1">
      <c r="A96" s="1"/>
      <c r="B96" s="1"/>
      <c r="C96" s="1"/>
      <c r="D96" s="1"/>
      <c r="E96" s="1"/>
      <c r="F96" s="1"/>
      <c r="G96" s="1"/>
      <c r="H96" s="1"/>
      <c r="I96" s="1"/>
      <c r="J96" s="1"/>
      <c r="K96" s="1"/>
    </row>
    <row r="97" spans="1:11" ht="12.75" customHeight="1">
      <c r="A97" s="1"/>
      <c r="B97" s="1"/>
      <c r="C97" s="1"/>
      <c r="D97" s="1"/>
      <c r="E97" s="1"/>
      <c r="F97" s="1"/>
      <c r="G97" s="1"/>
      <c r="H97" s="1"/>
      <c r="I97" s="1"/>
      <c r="J97" s="1"/>
      <c r="K97" s="1"/>
    </row>
    <row r="98" spans="1:11" ht="12.75" customHeight="1">
      <c r="A98" s="1"/>
      <c r="B98" s="1"/>
      <c r="C98" s="1"/>
      <c r="D98" s="1"/>
      <c r="E98" s="1"/>
      <c r="F98" s="1"/>
      <c r="G98" s="1"/>
      <c r="H98" s="1"/>
      <c r="I98" s="1"/>
      <c r="J98" s="1"/>
      <c r="K98" s="1"/>
    </row>
    <row r="99" spans="1:11" ht="12.75" customHeight="1">
      <c r="A99" s="1"/>
      <c r="B99" s="1"/>
      <c r="C99" s="1"/>
      <c r="D99" s="1"/>
      <c r="E99" s="1"/>
      <c r="F99" s="1"/>
      <c r="G99" s="1"/>
      <c r="H99" s="1"/>
      <c r="I99" s="1"/>
      <c r="J99" s="1"/>
      <c r="K99" s="1"/>
    </row>
    <row r="100" spans="1:11" ht="12.75" customHeight="1">
      <c r="A100" s="1"/>
      <c r="B100" s="1"/>
      <c r="C100" s="1"/>
      <c r="D100" s="1"/>
      <c r="E100" s="1"/>
      <c r="F100" s="1"/>
      <c r="G100" s="1"/>
      <c r="H100" s="1"/>
      <c r="I100" s="1"/>
      <c r="J100" s="1"/>
      <c r="K100" s="1"/>
    </row>
  </sheetData>
  <mergeCells count="52">
    <mergeCell ref="I22:I24"/>
    <mergeCell ref="D21:E21"/>
    <mergeCell ref="B14:C16"/>
    <mergeCell ref="A14:A16"/>
    <mergeCell ref="D32:I32"/>
    <mergeCell ref="A25:C25"/>
    <mergeCell ref="D25:E25"/>
    <mergeCell ref="A26:A28"/>
    <mergeCell ref="G26:G28"/>
    <mergeCell ref="H26:H28"/>
    <mergeCell ref="I26:I28"/>
    <mergeCell ref="D29:E29"/>
    <mergeCell ref="A30:C30"/>
    <mergeCell ref="D30:E30"/>
    <mergeCell ref="A31:C31"/>
    <mergeCell ref="D31:E31"/>
    <mergeCell ref="A22:A24"/>
    <mergeCell ref="A21:C21"/>
    <mergeCell ref="B60:C61"/>
    <mergeCell ref="A32:C32"/>
    <mergeCell ref="B26:C28"/>
    <mergeCell ref="A29:C29"/>
    <mergeCell ref="F26:F28"/>
    <mergeCell ref="F22:F24"/>
    <mergeCell ref="G22:G24"/>
    <mergeCell ref="H22:H24"/>
    <mergeCell ref="B22:C24"/>
    <mergeCell ref="D13:E13"/>
    <mergeCell ref="A10:I10"/>
    <mergeCell ref="A4:I4"/>
    <mergeCell ref="A5:B5"/>
    <mergeCell ref="C5:I5"/>
    <mergeCell ref="A6:I6"/>
    <mergeCell ref="A7:I7"/>
    <mergeCell ref="A8:I8"/>
    <mergeCell ref="A9:I9"/>
    <mergeCell ref="D17:E17"/>
    <mergeCell ref="I18:I20"/>
    <mergeCell ref="A11:I11"/>
    <mergeCell ref="A12:C12"/>
    <mergeCell ref="D12:I12"/>
    <mergeCell ref="A13:C13"/>
    <mergeCell ref="F14:F16"/>
    <mergeCell ref="I14:I16"/>
    <mergeCell ref="G14:G16"/>
    <mergeCell ref="H14:H16"/>
    <mergeCell ref="F18:F20"/>
    <mergeCell ref="G18:G20"/>
    <mergeCell ref="H18:H20"/>
    <mergeCell ref="A17:C17"/>
    <mergeCell ref="A18:A20"/>
    <mergeCell ref="B18:C20"/>
  </mergeCells>
  <conditionalFormatting sqref="J17">
    <cfRule type="expression" dxfId="15" priority="1">
      <formula>"X"</formula>
    </cfRule>
  </conditionalFormatting>
  <conditionalFormatting sqref="J21">
    <cfRule type="expression" dxfId="14" priority="2">
      <formula>"X"</formula>
    </cfRule>
  </conditionalFormatting>
  <conditionalFormatting sqref="J25">
    <cfRule type="expression" dxfId="13" priority="3">
      <formula>"X"</formula>
    </cfRule>
  </conditionalFormatting>
  <conditionalFormatting sqref="J29">
    <cfRule type="expression" dxfId="12" priority="4">
      <formula>"X"</formula>
    </cfRule>
  </conditionalFormatting>
  <pageMargins left="0.196527777777778" right="0" top="0" bottom="0" header="0" footer="0"/>
  <pageSetup paperSize="9" scale="83"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
  <sheetViews>
    <sheetView showGridLines="0" topLeftCell="A27" workbookViewId="0">
      <selection activeCell="F38" sqref="F38"/>
    </sheetView>
  </sheetViews>
  <sheetFormatPr defaultColWidth="14.36328125" defaultRowHeight="15" customHeight="1"/>
  <cols>
    <col min="1" max="1" width="7.36328125" customWidth="1"/>
    <col min="2" max="2" width="13" customWidth="1"/>
    <col min="3" max="3" width="8.7265625" customWidth="1"/>
    <col min="4" max="4" width="3" customWidth="1"/>
    <col min="5" max="5" width="33.1796875" customWidth="1"/>
    <col min="6" max="6" width="14.26953125" customWidth="1"/>
    <col min="7" max="7" width="14.36328125" customWidth="1"/>
    <col min="8" max="9" width="13.453125" customWidth="1"/>
    <col min="10" max="10" width="6.81640625" customWidth="1"/>
    <col min="11" max="11" width="9.1796875" hidden="1" customWidth="1"/>
  </cols>
  <sheetData>
    <row r="1" spans="1:11" ht="12.75" customHeight="1">
      <c r="A1" s="26"/>
      <c r="B1" s="26"/>
      <c r="C1" s="1"/>
      <c r="D1" s="1"/>
      <c r="E1" s="1"/>
      <c r="F1" s="1"/>
      <c r="G1" s="1"/>
      <c r="H1" s="1"/>
      <c r="I1" s="1"/>
      <c r="J1" s="27"/>
      <c r="K1" s="1"/>
    </row>
    <row r="2" spans="1:11" ht="12.75" customHeight="1">
      <c r="A2" s="26"/>
      <c r="B2" s="6" t="s">
        <v>7</v>
      </c>
      <c r="C2" s="1" t="s">
        <v>8</v>
      </c>
      <c r="D2" s="1"/>
      <c r="E2" s="1"/>
      <c r="F2" s="1"/>
      <c r="G2" s="1"/>
      <c r="H2" s="1"/>
      <c r="I2" s="1"/>
      <c r="J2" s="27"/>
      <c r="K2" s="1"/>
    </row>
    <row r="3" spans="1:11" ht="12.75" customHeight="1">
      <c r="A3" s="1"/>
      <c r="B3" s="1"/>
      <c r="C3" s="1"/>
      <c r="D3" s="1"/>
      <c r="E3" s="1"/>
      <c r="F3" s="1"/>
      <c r="G3" s="1"/>
      <c r="H3" s="1"/>
      <c r="I3" s="1"/>
      <c r="J3" s="1"/>
      <c r="K3" s="1"/>
    </row>
    <row r="4" spans="1:11" ht="15.75" customHeight="1">
      <c r="A4" s="56" t="s">
        <v>124</v>
      </c>
      <c r="B4" s="57"/>
      <c r="C4" s="57"/>
      <c r="D4" s="57"/>
      <c r="E4" s="57"/>
      <c r="F4" s="57"/>
      <c r="G4" s="57"/>
      <c r="H4" s="57"/>
      <c r="I4" s="58"/>
      <c r="J4" s="1"/>
      <c r="K4" s="1"/>
    </row>
    <row r="5" spans="1:11" ht="15.75" customHeight="1">
      <c r="A5" s="61" t="s">
        <v>125</v>
      </c>
      <c r="B5" s="62"/>
      <c r="C5" s="63"/>
      <c r="D5" s="51"/>
      <c r="E5" s="51"/>
      <c r="F5" s="51"/>
      <c r="G5" s="51"/>
      <c r="H5" s="51"/>
      <c r="I5" s="52"/>
      <c r="J5" s="1"/>
      <c r="K5" s="1"/>
    </row>
    <row r="6" spans="1:11" ht="12.75" customHeight="1">
      <c r="A6" s="53" t="s">
        <v>13</v>
      </c>
      <c r="B6" s="51"/>
      <c r="C6" s="51"/>
      <c r="D6" s="51"/>
      <c r="E6" s="51"/>
      <c r="F6" s="51"/>
      <c r="G6" s="51"/>
      <c r="H6" s="51"/>
      <c r="I6" s="52"/>
      <c r="J6" s="1"/>
      <c r="K6" s="1"/>
    </row>
    <row r="7" spans="1:11" ht="13.5" customHeight="1">
      <c r="A7" s="50" t="s">
        <v>126</v>
      </c>
      <c r="B7" s="51"/>
      <c r="C7" s="51"/>
      <c r="D7" s="51"/>
      <c r="E7" s="51"/>
      <c r="F7" s="51"/>
      <c r="G7" s="51"/>
      <c r="H7" s="51"/>
      <c r="I7" s="52"/>
      <c r="J7" s="1"/>
      <c r="K7" s="1"/>
    </row>
    <row r="8" spans="1:11" ht="12.75" customHeight="1">
      <c r="A8" s="53" t="s">
        <v>15</v>
      </c>
      <c r="B8" s="51"/>
      <c r="C8" s="51"/>
      <c r="D8" s="51"/>
      <c r="E8" s="51"/>
      <c r="F8" s="51"/>
      <c r="G8" s="51"/>
      <c r="H8" s="51"/>
      <c r="I8" s="52"/>
      <c r="J8" s="1"/>
      <c r="K8" s="1"/>
    </row>
    <row r="9" spans="1:11" ht="15.75" customHeight="1">
      <c r="A9" s="54" t="s">
        <v>127</v>
      </c>
      <c r="B9" s="51"/>
      <c r="C9" s="51"/>
      <c r="D9" s="51"/>
      <c r="E9" s="51"/>
      <c r="F9" s="51"/>
      <c r="G9" s="51"/>
      <c r="H9" s="51"/>
      <c r="I9" s="52"/>
      <c r="J9" s="1"/>
      <c r="K9" s="1"/>
    </row>
    <row r="10" spans="1:11" ht="12.75" customHeight="1">
      <c r="A10" s="53" t="s">
        <v>17</v>
      </c>
      <c r="B10" s="51"/>
      <c r="C10" s="51"/>
      <c r="D10" s="51"/>
      <c r="E10" s="51"/>
      <c r="F10" s="51"/>
      <c r="G10" s="51"/>
      <c r="H10" s="51"/>
      <c r="I10" s="52"/>
      <c r="J10" s="1"/>
      <c r="K10" s="1"/>
    </row>
    <row r="11" spans="1:11" ht="43.5" customHeight="1">
      <c r="A11" s="50" t="s">
        <v>128</v>
      </c>
      <c r="B11" s="51"/>
      <c r="C11" s="51"/>
      <c r="D11" s="51"/>
      <c r="E11" s="51"/>
      <c r="F11" s="51"/>
      <c r="G11" s="51"/>
      <c r="H11" s="51"/>
      <c r="I11" s="52"/>
      <c r="J11" s="1"/>
      <c r="K11" s="7"/>
    </row>
    <row r="12" spans="1:11" ht="12.75" customHeight="1">
      <c r="A12" s="105" t="s">
        <v>19</v>
      </c>
      <c r="B12" s="51"/>
      <c r="C12" s="62"/>
      <c r="D12" s="106" t="s">
        <v>20</v>
      </c>
      <c r="E12" s="51"/>
      <c r="F12" s="51"/>
      <c r="G12" s="51"/>
      <c r="H12" s="51"/>
      <c r="I12" s="52"/>
      <c r="J12" s="8"/>
      <c r="K12" s="1"/>
    </row>
    <row r="13" spans="1:11" ht="27.75" customHeight="1">
      <c r="A13" s="107" t="s">
        <v>129</v>
      </c>
      <c r="B13" s="51"/>
      <c r="C13" s="62"/>
      <c r="D13" s="108">
        <v>4</v>
      </c>
      <c r="E13" s="109"/>
      <c r="F13" s="9">
        <v>3</v>
      </c>
      <c r="G13" s="9">
        <v>2</v>
      </c>
      <c r="H13" s="9">
        <v>1</v>
      </c>
      <c r="I13" s="10">
        <v>0</v>
      </c>
      <c r="J13" s="8"/>
      <c r="K13" s="1"/>
    </row>
    <row r="14" spans="1:11" ht="12.75" customHeight="1">
      <c r="A14" s="110" t="s">
        <v>22</v>
      </c>
      <c r="B14" s="78" t="s">
        <v>130</v>
      </c>
      <c r="C14" s="79"/>
      <c r="D14" s="11" t="s">
        <v>24</v>
      </c>
      <c r="E14" s="12" t="s">
        <v>131</v>
      </c>
      <c r="F14" s="111" t="s">
        <v>78</v>
      </c>
      <c r="G14" s="103" t="s">
        <v>79</v>
      </c>
      <c r="H14" s="103" t="s">
        <v>80</v>
      </c>
      <c r="I14" s="104" t="s">
        <v>81</v>
      </c>
      <c r="J14" s="13"/>
      <c r="K14" s="1"/>
    </row>
    <row r="15" spans="1:11" ht="12.75" customHeight="1">
      <c r="A15" s="90"/>
      <c r="B15" s="80"/>
      <c r="C15" s="77"/>
      <c r="D15" s="14" t="s">
        <v>30</v>
      </c>
      <c r="E15" s="15" t="s">
        <v>132</v>
      </c>
      <c r="F15" s="101"/>
      <c r="G15" s="65"/>
      <c r="H15" s="65"/>
      <c r="I15" s="68"/>
      <c r="J15" s="13"/>
      <c r="K15" s="1"/>
    </row>
    <row r="16" spans="1:11" ht="13.5" customHeight="1">
      <c r="A16" s="90"/>
      <c r="B16" s="80"/>
      <c r="C16" s="77"/>
      <c r="D16" s="14" t="s">
        <v>32</v>
      </c>
      <c r="E16" s="15" t="s">
        <v>133</v>
      </c>
      <c r="F16" s="101"/>
      <c r="G16" s="65"/>
      <c r="H16" s="65"/>
      <c r="I16" s="68"/>
      <c r="J16" s="13"/>
      <c r="K16" s="1"/>
    </row>
    <row r="17" spans="1:11" ht="25.5" customHeight="1">
      <c r="A17" s="91"/>
      <c r="B17" s="81"/>
      <c r="C17" s="82"/>
      <c r="D17" s="16" t="s">
        <v>84</v>
      </c>
      <c r="E17" s="17" t="s">
        <v>51</v>
      </c>
      <c r="F17" s="102"/>
      <c r="G17" s="66"/>
      <c r="H17" s="66"/>
      <c r="I17" s="69"/>
      <c r="J17" s="13"/>
      <c r="K17" s="1"/>
    </row>
    <row r="18" spans="1:11" ht="13.5" customHeight="1">
      <c r="A18" s="84" t="s">
        <v>34</v>
      </c>
      <c r="B18" s="74"/>
      <c r="C18" s="75"/>
      <c r="D18" s="85"/>
      <c r="E18" s="75"/>
      <c r="F18" s="18"/>
      <c r="G18" s="18"/>
      <c r="H18" s="18"/>
      <c r="I18" s="19"/>
      <c r="J18" s="13">
        <f>IF((D18+F18+G18+H18+I18)&gt;1,"X",IF((D18+F18+G18+H18+I18)=0,0,""))</f>
        <v>0</v>
      </c>
      <c r="K18" s="1"/>
    </row>
    <row r="19" spans="1:11" ht="13.5" customHeight="1">
      <c r="A19" s="89" t="s">
        <v>35</v>
      </c>
      <c r="B19" s="83" t="s">
        <v>134</v>
      </c>
      <c r="C19" s="77"/>
      <c r="D19" s="14" t="s">
        <v>24</v>
      </c>
      <c r="E19" s="15" t="s">
        <v>131</v>
      </c>
      <c r="F19" s="100" t="s">
        <v>78</v>
      </c>
      <c r="G19" s="64" t="s">
        <v>79</v>
      </c>
      <c r="H19" s="64" t="s">
        <v>80</v>
      </c>
      <c r="I19" s="67" t="s">
        <v>81</v>
      </c>
      <c r="J19" s="13"/>
      <c r="K19" s="1"/>
    </row>
    <row r="20" spans="1:11" ht="12.75" customHeight="1">
      <c r="A20" s="90"/>
      <c r="B20" s="80"/>
      <c r="C20" s="77"/>
      <c r="D20" s="14" t="s">
        <v>30</v>
      </c>
      <c r="E20" s="15" t="s">
        <v>135</v>
      </c>
      <c r="F20" s="101"/>
      <c r="G20" s="65"/>
      <c r="H20" s="65"/>
      <c r="I20" s="68"/>
      <c r="J20" s="13"/>
      <c r="K20" s="1"/>
    </row>
    <row r="21" spans="1:11" ht="12.75" customHeight="1">
      <c r="A21" s="90"/>
      <c r="B21" s="80"/>
      <c r="C21" s="77"/>
      <c r="D21" s="14" t="s">
        <v>32</v>
      </c>
      <c r="E21" s="15" t="s">
        <v>133</v>
      </c>
      <c r="F21" s="101"/>
      <c r="G21" s="65"/>
      <c r="H21" s="65"/>
      <c r="I21" s="68"/>
      <c r="J21" s="13"/>
      <c r="K21" s="1"/>
    </row>
    <row r="22" spans="1:11" ht="28" customHeight="1">
      <c r="A22" s="91"/>
      <c r="B22" s="81"/>
      <c r="C22" s="82"/>
      <c r="D22" s="16" t="s">
        <v>84</v>
      </c>
      <c r="E22" s="17" t="s">
        <v>51</v>
      </c>
      <c r="F22" s="102"/>
      <c r="G22" s="66"/>
      <c r="H22" s="66"/>
      <c r="I22" s="69"/>
      <c r="J22" s="13"/>
      <c r="K22" s="1"/>
    </row>
    <row r="23" spans="1:11" ht="13.5" customHeight="1">
      <c r="A23" s="84" t="s">
        <v>34</v>
      </c>
      <c r="B23" s="74"/>
      <c r="C23" s="75"/>
      <c r="D23" s="85"/>
      <c r="E23" s="75"/>
      <c r="F23" s="18"/>
      <c r="G23" s="18"/>
      <c r="H23" s="18"/>
      <c r="I23" s="19"/>
      <c r="J23" s="13">
        <f>IF((D23+F23+G23+H23+I23)&gt;1,"X",IF((D23+F23+G23+H23+I23)=0,0,""))</f>
        <v>0</v>
      </c>
      <c r="K23" s="1"/>
    </row>
    <row r="24" spans="1:11" ht="17.25" customHeight="1">
      <c r="A24" s="89" t="s">
        <v>37</v>
      </c>
      <c r="B24" s="83" t="s">
        <v>136</v>
      </c>
      <c r="C24" s="77"/>
      <c r="D24" s="14" t="s">
        <v>24</v>
      </c>
      <c r="E24" s="15" t="s">
        <v>131</v>
      </c>
      <c r="F24" s="100" t="s">
        <v>78</v>
      </c>
      <c r="G24" s="64" t="s">
        <v>79</v>
      </c>
      <c r="H24" s="64" t="s">
        <v>80</v>
      </c>
      <c r="I24" s="67" t="s">
        <v>81</v>
      </c>
      <c r="J24" s="13"/>
      <c r="K24" s="1"/>
    </row>
    <row r="25" spans="1:11" ht="16.5" customHeight="1">
      <c r="A25" s="90"/>
      <c r="B25" s="80"/>
      <c r="C25" s="77"/>
      <c r="D25" s="14" t="s">
        <v>30</v>
      </c>
      <c r="E25" s="15" t="s">
        <v>135</v>
      </c>
      <c r="F25" s="101"/>
      <c r="G25" s="65"/>
      <c r="H25" s="65"/>
      <c r="I25" s="68"/>
      <c r="J25" s="13"/>
      <c r="K25" s="1"/>
    </row>
    <row r="26" spans="1:11" ht="12.75" customHeight="1">
      <c r="A26" s="90"/>
      <c r="B26" s="80"/>
      <c r="C26" s="77"/>
      <c r="D26" s="14" t="s">
        <v>32</v>
      </c>
      <c r="E26" s="15" t="s">
        <v>137</v>
      </c>
      <c r="F26" s="101"/>
      <c r="G26" s="65"/>
      <c r="H26" s="65"/>
      <c r="I26" s="68"/>
      <c r="J26" s="13"/>
      <c r="K26" s="1"/>
    </row>
    <row r="27" spans="1:11" ht="27" customHeight="1">
      <c r="A27" s="91"/>
      <c r="B27" s="81"/>
      <c r="C27" s="82"/>
      <c r="D27" s="16" t="s">
        <v>84</v>
      </c>
      <c r="E27" s="17" t="s">
        <v>51</v>
      </c>
      <c r="F27" s="102"/>
      <c r="G27" s="66"/>
      <c r="H27" s="66"/>
      <c r="I27" s="69"/>
      <c r="J27" s="13"/>
      <c r="K27" s="1"/>
    </row>
    <row r="28" spans="1:11" ht="13.5" customHeight="1">
      <c r="A28" s="84" t="s">
        <v>34</v>
      </c>
      <c r="B28" s="74"/>
      <c r="C28" s="75"/>
      <c r="D28" s="85"/>
      <c r="E28" s="75"/>
      <c r="F28" s="18"/>
      <c r="G28" s="18"/>
      <c r="H28" s="18"/>
      <c r="I28" s="19"/>
      <c r="J28" s="13">
        <f>IF((D28+F28+G28+H28+I28)&gt;1,"X",IF((D28+F28+G28+H28+I28)=0,0,""))</f>
        <v>0</v>
      </c>
      <c r="K28" s="1"/>
    </row>
    <row r="29" spans="1:11" ht="13.5" customHeight="1">
      <c r="A29" s="89" t="s">
        <v>66</v>
      </c>
      <c r="B29" s="83" t="s">
        <v>138</v>
      </c>
      <c r="C29" s="77"/>
      <c r="D29" s="14" t="s">
        <v>24</v>
      </c>
      <c r="E29" s="15" t="s">
        <v>131</v>
      </c>
      <c r="F29" s="100" t="s">
        <v>78</v>
      </c>
      <c r="G29" s="64" t="s">
        <v>79</v>
      </c>
      <c r="H29" s="64" t="s">
        <v>80</v>
      </c>
      <c r="I29" s="67" t="s">
        <v>81</v>
      </c>
      <c r="J29" s="13"/>
      <c r="K29" s="1"/>
    </row>
    <row r="30" spans="1:11" ht="12.75" customHeight="1">
      <c r="A30" s="90"/>
      <c r="B30" s="80"/>
      <c r="C30" s="77"/>
      <c r="D30" s="14" t="s">
        <v>30</v>
      </c>
      <c r="E30" s="15" t="s">
        <v>132</v>
      </c>
      <c r="F30" s="101"/>
      <c r="G30" s="65"/>
      <c r="H30" s="65"/>
      <c r="I30" s="68"/>
      <c r="J30" s="13"/>
      <c r="K30" s="1"/>
    </row>
    <row r="31" spans="1:11" ht="12.75" customHeight="1">
      <c r="A31" s="90"/>
      <c r="B31" s="80"/>
      <c r="C31" s="77"/>
      <c r="D31" s="14" t="s">
        <v>32</v>
      </c>
      <c r="E31" s="15" t="s">
        <v>133</v>
      </c>
      <c r="F31" s="101"/>
      <c r="G31" s="65"/>
      <c r="H31" s="65"/>
      <c r="I31" s="68"/>
      <c r="J31" s="13"/>
      <c r="K31" s="1"/>
    </row>
    <row r="32" spans="1:11" ht="30" customHeight="1">
      <c r="A32" s="91"/>
      <c r="B32" s="81"/>
      <c r="C32" s="82"/>
      <c r="D32" s="16" t="s">
        <v>84</v>
      </c>
      <c r="E32" s="17" t="s">
        <v>51</v>
      </c>
      <c r="F32" s="102"/>
      <c r="G32" s="66"/>
      <c r="H32" s="66"/>
      <c r="I32" s="69"/>
      <c r="J32" s="13"/>
      <c r="K32" s="1"/>
    </row>
    <row r="33" spans="1:11" ht="13.5" customHeight="1">
      <c r="A33" s="84" t="s">
        <v>34</v>
      </c>
      <c r="B33" s="74"/>
      <c r="C33" s="75"/>
      <c r="D33" s="85"/>
      <c r="E33" s="75"/>
      <c r="F33" s="18"/>
      <c r="G33" s="18"/>
      <c r="H33" s="18"/>
      <c r="I33" s="19"/>
      <c r="J33" s="13">
        <f>IF((D33+F33+G33+H33+I33)&gt;1,"X",IF((D33+F33+G33+H33+I33)=0,0,""))</f>
        <v>0</v>
      </c>
      <c r="K33" s="1"/>
    </row>
    <row r="34" spans="1:11" ht="13.5" customHeight="1">
      <c r="A34" s="89" t="s">
        <v>89</v>
      </c>
      <c r="B34" s="83" t="s">
        <v>139</v>
      </c>
      <c r="C34" s="77"/>
      <c r="D34" s="14" t="s">
        <v>24</v>
      </c>
      <c r="E34" s="15" t="s">
        <v>131</v>
      </c>
      <c r="F34" s="100" t="s">
        <v>78</v>
      </c>
      <c r="G34" s="64" t="s">
        <v>79</v>
      </c>
      <c r="H34" s="64" t="s">
        <v>80</v>
      </c>
      <c r="I34" s="67" t="s">
        <v>81</v>
      </c>
      <c r="J34" s="13"/>
      <c r="K34" s="1"/>
    </row>
    <row r="35" spans="1:11" ht="12.75" customHeight="1">
      <c r="A35" s="90"/>
      <c r="B35" s="80"/>
      <c r="C35" s="77"/>
      <c r="D35" s="14" t="s">
        <v>30</v>
      </c>
      <c r="E35" s="15" t="s">
        <v>135</v>
      </c>
      <c r="F35" s="101"/>
      <c r="G35" s="65"/>
      <c r="H35" s="65"/>
      <c r="I35" s="68"/>
      <c r="J35" s="13"/>
      <c r="K35" s="1"/>
    </row>
    <row r="36" spans="1:11" ht="12.75" customHeight="1">
      <c r="A36" s="90"/>
      <c r="B36" s="80"/>
      <c r="C36" s="77"/>
      <c r="D36" s="14" t="s">
        <v>32</v>
      </c>
      <c r="E36" s="15" t="s">
        <v>133</v>
      </c>
      <c r="F36" s="101"/>
      <c r="G36" s="65"/>
      <c r="H36" s="65"/>
      <c r="I36" s="68"/>
      <c r="J36" s="13"/>
      <c r="K36" s="1"/>
    </row>
    <row r="37" spans="1:11" ht="31.5" customHeight="1">
      <c r="A37" s="91"/>
      <c r="B37" s="81"/>
      <c r="C37" s="82"/>
      <c r="D37" s="16" t="s">
        <v>84</v>
      </c>
      <c r="E37" s="17" t="s">
        <v>51</v>
      </c>
      <c r="F37" s="102"/>
      <c r="G37" s="66"/>
      <c r="H37" s="66"/>
      <c r="I37" s="69"/>
      <c r="J37" s="13"/>
      <c r="K37" s="1"/>
    </row>
    <row r="38" spans="1:11" ht="13.5" customHeight="1">
      <c r="A38" s="84" t="s">
        <v>34</v>
      </c>
      <c r="B38" s="74"/>
      <c r="C38" s="75"/>
      <c r="D38" s="85"/>
      <c r="E38" s="75"/>
      <c r="F38" s="18"/>
      <c r="G38" s="18"/>
      <c r="H38" s="18"/>
      <c r="I38" s="19"/>
      <c r="J38" s="13">
        <f>IF((D38+F38+G38+H38+I38)&gt;1,"X",IF((D38+F38+G38+H38+I38)=0,0,""))</f>
        <v>0</v>
      </c>
      <c r="K38" s="1"/>
    </row>
    <row r="39" spans="1:11" ht="22" customHeight="1">
      <c r="A39" s="116" t="s">
        <v>140</v>
      </c>
      <c r="B39" s="117"/>
      <c r="C39" s="118"/>
      <c r="D39" s="119">
        <f>IF(SUM(D18+D23+D28+D33+D38)="","",(SUM(D18+D23+D28+D33+D38)))</f>
        <v>0</v>
      </c>
      <c r="E39" s="118"/>
      <c r="F39" s="30">
        <f t="shared" ref="F39:G39" si="0">IF(SUM(F18+F23++F28+F33+F38)="","",(SUM(F18+F23++F28+F33+F38)))</f>
        <v>0</v>
      </c>
      <c r="G39" s="30">
        <f t="shared" si="0"/>
        <v>0</v>
      </c>
      <c r="H39" s="30">
        <f t="shared" ref="H39:I39" si="1">IF(SUM(H18+H23+H28+H33+H38)="","",(SUM(H18+H23+H28+H33+H38)))</f>
        <v>0</v>
      </c>
      <c r="I39" s="31">
        <f t="shared" si="1"/>
        <v>0</v>
      </c>
      <c r="J39" s="1"/>
      <c r="K39" s="1"/>
    </row>
    <row r="40" spans="1:11" ht="20.5" customHeight="1">
      <c r="A40" s="73" t="s">
        <v>40</v>
      </c>
      <c r="B40" s="74"/>
      <c r="C40" s="75"/>
      <c r="D40" s="88">
        <f>IF((D39)="","",(D39)*D13)</f>
        <v>0</v>
      </c>
      <c r="E40" s="75"/>
      <c r="F40" s="20">
        <f t="shared" ref="F40:H40" si="2">IF((F39)="","",(F39)*F13)</f>
        <v>0</v>
      </c>
      <c r="G40" s="20">
        <f t="shared" si="2"/>
        <v>0</v>
      </c>
      <c r="H40" s="20">
        <f t="shared" si="2"/>
        <v>0</v>
      </c>
      <c r="I40" s="21">
        <f>IF((I39)="","",(I39)*I21)</f>
        <v>0</v>
      </c>
      <c r="J40" s="1"/>
      <c r="K40" s="1"/>
    </row>
    <row r="41" spans="1:11" ht="23.5" customHeight="1">
      <c r="A41" s="86" t="s">
        <v>141</v>
      </c>
      <c r="B41" s="71"/>
      <c r="C41" s="87"/>
      <c r="D41" s="70"/>
      <c r="E41" s="71"/>
      <c r="F41" s="71"/>
      <c r="G41" s="71"/>
      <c r="H41" s="71"/>
      <c r="I41" s="72"/>
      <c r="J41" s="22">
        <f>IF(OR(J38="X",J33="X",J28="X",J23="X",J18="X"),"X",1)</f>
        <v>1</v>
      </c>
      <c r="K41" s="1"/>
    </row>
    <row r="42" spans="1:11" ht="12.75" customHeight="1">
      <c r="A42" s="1"/>
      <c r="B42" s="1"/>
      <c r="C42" s="1"/>
      <c r="D42" s="1"/>
      <c r="E42" s="1"/>
      <c r="F42" s="1"/>
      <c r="G42" s="1"/>
      <c r="H42" s="1"/>
      <c r="I42" s="1"/>
      <c r="J42" s="1"/>
      <c r="K42" s="1"/>
    </row>
    <row r="43" spans="1:11" ht="12.75" hidden="1" customHeight="1">
      <c r="A43" s="1"/>
      <c r="B43" s="1"/>
      <c r="C43" s="1"/>
      <c r="D43" s="1"/>
      <c r="E43" s="1"/>
      <c r="F43" s="1"/>
      <c r="G43" s="1"/>
      <c r="H43" s="1"/>
      <c r="I43" s="1"/>
      <c r="J43" s="1"/>
      <c r="K43" s="1"/>
    </row>
    <row r="44" spans="1:11" ht="12.75" hidden="1" customHeight="1">
      <c r="A44" s="1"/>
      <c r="B44" s="1"/>
      <c r="C44" s="1"/>
      <c r="D44" s="1"/>
      <c r="E44" s="1"/>
      <c r="F44" s="1"/>
      <c r="G44" s="1"/>
      <c r="H44" s="1"/>
      <c r="I44" s="1"/>
      <c r="J44" s="1"/>
      <c r="K44" s="1"/>
    </row>
    <row r="45" spans="1:11" ht="12.75" hidden="1" customHeight="1">
      <c r="A45" s="1"/>
      <c r="B45" s="1"/>
      <c r="C45" s="1"/>
      <c r="D45" s="1"/>
      <c r="E45" s="1"/>
      <c r="F45" s="1"/>
      <c r="G45" s="1"/>
      <c r="H45" s="1"/>
      <c r="I45" s="1"/>
      <c r="J45" s="1"/>
      <c r="K45" s="1"/>
    </row>
    <row r="46" spans="1:11" ht="12.75" hidden="1" customHeight="1">
      <c r="A46" s="1"/>
      <c r="B46" s="1"/>
      <c r="C46" s="1"/>
      <c r="D46" s="1"/>
      <c r="E46" s="1"/>
      <c r="F46" s="1"/>
      <c r="G46" s="1"/>
      <c r="H46" s="1"/>
      <c r="I46" s="1"/>
      <c r="J46" s="1"/>
      <c r="K46" s="1"/>
    </row>
    <row r="47" spans="1:11" ht="12.75" hidden="1" customHeight="1">
      <c r="A47" s="1"/>
      <c r="B47" s="1"/>
      <c r="C47" s="1"/>
      <c r="D47" s="1"/>
      <c r="E47" s="1"/>
      <c r="F47" s="1"/>
      <c r="G47" s="1"/>
      <c r="H47" s="1"/>
      <c r="I47" s="1"/>
      <c r="J47" s="1"/>
      <c r="K47" s="1"/>
    </row>
    <row r="48" spans="1:11" ht="12.75" hidden="1" customHeight="1">
      <c r="A48" s="1"/>
      <c r="B48" s="1"/>
      <c r="C48" s="1"/>
      <c r="D48" s="1"/>
      <c r="E48" s="1"/>
      <c r="F48" s="1"/>
      <c r="G48" s="1"/>
      <c r="H48" s="1"/>
      <c r="I48" s="1"/>
      <c r="J48" s="1"/>
      <c r="K48" s="1"/>
    </row>
    <row r="49" spans="1:11" ht="12.75" hidden="1" customHeight="1">
      <c r="A49" s="1"/>
      <c r="B49" s="1"/>
      <c r="C49" s="1"/>
      <c r="D49" s="1"/>
      <c r="E49" s="1"/>
      <c r="F49" s="1"/>
      <c r="G49" s="1"/>
      <c r="H49" s="1"/>
      <c r="I49" s="1"/>
      <c r="J49" s="1"/>
      <c r="K49" s="1"/>
    </row>
    <row r="50" spans="1:11" ht="12.75" hidden="1" customHeight="1">
      <c r="A50" s="1"/>
      <c r="B50" s="1"/>
      <c r="C50" s="1"/>
      <c r="D50" s="1"/>
      <c r="E50" s="1"/>
      <c r="F50" s="1"/>
      <c r="G50" s="1"/>
      <c r="H50" s="1"/>
      <c r="I50" s="1"/>
      <c r="J50" s="1"/>
      <c r="K50" s="1"/>
    </row>
    <row r="51" spans="1:11" ht="12.75" hidden="1" customHeight="1">
      <c r="A51" s="1"/>
      <c r="B51" s="1"/>
      <c r="C51" s="1"/>
      <c r="D51" s="1"/>
      <c r="E51" s="1"/>
      <c r="F51" s="1"/>
      <c r="G51" s="1"/>
      <c r="H51" s="1"/>
      <c r="I51" s="1"/>
      <c r="J51" s="1"/>
      <c r="K51" s="1"/>
    </row>
    <row r="52" spans="1:11" ht="12.75" hidden="1" customHeight="1">
      <c r="A52" s="1"/>
      <c r="B52" s="1"/>
      <c r="C52" s="1"/>
      <c r="D52" s="1"/>
      <c r="E52" s="1"/>
      <c r="F52" s="1"/>
      <c r="G52" s="1"/>
      <c r="H52" s="1"/>
      <c r="I52" s="1"/>
      <c r="J52" s="1"/>
      <c r="K52" s="1"/>
    </row>
    <row r="53" spans="1:11" ht="12.75" hidden="1" customHeight="1">
      <c r="A53" s="1"/>
      <c r="B53" s="1"/>
      <c r="C53" s="1"/>
      <c r="D53" s="1"/>
      <c r="E53" s="1"/>
      <c r="F53" s="1"/>
      <c r="G53" s="1"/>
      <c r="H53" s="1"/>
      <c r="I53" s="1"/>
      <c r="J53" s="1"/>
      <c r="K53" s="1"/>
    </row>
    <row r="54" spans="1:11" ht="12.75" hidden="1" customHeight="1">
      <c r="A54" s="1"/>
      <c r="B54" s="1"/>
      <c r="C54" s="1"/>
      <c r="D54" s="1"/>
      <c r="E54" s="1"/>
      <c r="F54" s="1"/>
      <c r="G54" s="1"/>
      <c r="H54" s="1"/>
      <c r="I54" s="1"/>
      <c r="J54" s="1"/>
      <c r="K54" s="1"/>
    </row>
    <row r="55" spans="1:11" ht="12.75" hidden="1" customHeight="1">
      <c r="A55" s="1"/>
      <c r="B55" s="1"/>
      <c r="C55" s="1"/>
      <c r="D55" s="1"/>
      <c r="E55" s="1"/>
      <c r="F55" s="1"/>
      <c r="G55" s="1"/>
      <c r="H55" s="1"/>
      <c r="I55" s="1"/>
      <c r="J55" s="1"/>
      <c r="K55" s="1"/>
    </row>
    <row r="56" spans="1:11" ht="12.75" hidden="1" customHeight="1">
      <c r="A56" s="1"/>
      <c r="B56" s="1"/>
      <c r="C56" s="1"/>
      <c r="D56" s="1"/>
      <c r="E56" s="1"/>
      <c r="F56" s="1"/>
      <c r="G56" s="1"/>
      <c r="H56" s="1"/>
      <c r="I56" s="1"/>
      <c r="J56" s="1"/>
      <c r="K56" s="1"/>
    </row>
    <row r="57" spans="1:11" ht="12.75" hidden="1" customHeight="1">
      <c r="A57" s="1"/>
      <c r="B57" s="1"/>
      <c r="C57" s="1"/>
      <c r="D57" s="1"/>
      <c r="E57" s="1"/>
      <c r="F57" s="1"/>
      <c r="G57" s="1"/>
      <c r="H57" s="1"/>
      <c r="I57" s="1"/>
      <c r="J57" s="1"/>
      <c r="K57" s="1"/>
    </row>
    <row r="58" spans="1:11" ht="12.75" hidden="1" customHeight="1">
      <c r="A58" s="1"/>
      <c r="B58" s="1"/>
      <c r="C58" s="1"/>
      <c r="D58" s="1"/>
      <c r="E58" s="1"/>
      <c r="F58" s="1"/>
      <c r="G58" s="1"/>
      <c r="H58" s="1"/>
      <c r="I58" s="1"/>
      <c r="J58" s="1"/>
      <c r="K58" s="1"/>
    </row>
    <row r="59" spans="1:11" ht="12.75" hidden="1" customHeight="1">
      <c r="A59" s="1"/>
      <c r="B59" s="1"/>
      <c r="C59" s="1"/>
      <c r="D59" s="1"/>
      <c r="E59" s="1"/>
      <c r="F59" s="1"/>
      <c r="G59" s="1"/>
      <c r="H59" s="1"/>
      <c r="I59" s="1"/>
      <c r="J59" s="1"/>
      <c r="K59" s="1"/>
    </row>
    <row r="60" spans="1:11" ht="12.75" hidden="1" customHeight="1">
      <c r="A60" s="1"/>
      <c r="B60" s="1"/>
      <c r="C60" s="1"/>
      <c r="D60" s="1"/>
      <c r="E60" s="1"/>
      <c r="F60" s="1"/>
      <c r="G60" s="1"/>
      <c r="H60" s="1"/>
      <c r="I60" s="1"/>
      <c r="J60" s="1"/>
      <c r="K60" s="1"/>
    </row>
    <row r="61" spans="1:11" ht="12.75" hidden="1" customHeight="1">
      <c r="A61" s="1"/>
      <c r="B61" s="1"/>
      <c r="C61" s="1"/>
      <c r="D61" s="1"/>
      <c r="E61" s="1"/>
      <c r="F61" s="1"/>
      <c r="G61" s="1"/>
      <c r="H61" s="1"/>
      <c r="I61" s="1"/>
      <c r="J61" s="1"/>
      <c r="K61" s="1"/>
    </row>
    <row r="62" spans="1:11" ht="12.75" hidden="1" customHeight="1">
      <c r="A62" s="1"/>
      <c r="B62" s="1"/>
      <c r="C62" s="1"/>
      <c r="D62" s="1"/>
      <c r="E62" s="1"/>
      <c r="F62" s="1"/>
      <c r="G62" s="1"/>
      <c r="H62" s="1"/>
      <c r="I62" s="1"/>
      <c r="J62" s="1"/>
      <c r="K62" s="1"/>
    </row>
    <row r="63" spans="1:11" ht="12.75" hidden="1" customHeight="1">
      <c r="A63" s="1"/>
      <c r="B63" s="1"/>
      <c r="C63" s="1"/>
      <c r="D63" s="1"/>
      <c r="E63" s="1"/>
      <c r="F63" s="1"/>
      <c r="G63" s="1"/>
      <c r="H63" s="1"/>
      <c r="I63" s="1"/>
      <c r="J63" s="1"/>
      <c r="K63" s="1"/>
    </row>
    <row r="64" spans="1:11" ht="12.75" hidden="1" customHeight="1">
      <c r="A64" s="1"/>
      <c r="B64" s="1"/>
      <c r="C64" s="1"/>
      <c r="D64" s="1"/>
      <c r="E64" s="1"/>
      <c r="F64" s="1"/>
      <c r="G64" s="1"/>
      <c r="H64" s="1"/>
      <c r="I64" s="1"/>
      <c r="J64" s="1"/>
      <c r="K64" s="1"/>
    </row>
    <row r="65" spans="1:11" ht="12.75" hidden="1" customHeight="1">
      <c r="A65" s="1"/>
      <c r="B65" s="1"/>
      <c r="C65" s="1"/>
      <c r="D65" s="1"/>
      <c r="E65" s="1"/>
      <c r="F65" s="1"/>
      <c r="G65" s="1"/>
      <c r="H65" s="1"/>
      <c r="I65" s="1"/>
      <c r="J65" s="1"/>
      <c r="K65" s="1"/>
    </row>
    <row r="66" spans="1:11" ht="12.75" hidden="1" customHeight="1">
      <c r="A66" s="1"/>
      <c r="B66" s="1"/>
      <c r="C66" s="1"/>
      <c r="D66" s="1"/>
      <c r="E66" s="1"/>
      <c r="F66" s="1"/>
      <c r="G66" s="1"/>
      <c r="H66" s="1"/>
      <c r="I66" s="1"/>
      <c r="J66" s="1"/>
      <c r="K66" s="1"/>
    </row>
    <row r="67" spans="1:11" ht="12.75" customHeight="1">
      <c r="A67" s="1"/>
      <c r="B67" s="1"/>
      <c r="C67" s="1"/>
      <c r="D67" s="1"/>
      <c r="E67" s="1"/>
      <c r="F67" s="1"/>
      <c r="G67" s="1"/>
      <c r="H67" s="1"/>
      <c r="I67" s="1"/>
      <c r="J67" s="1"/>
      <c r="K67" s="1"/>
    </row>
    <row r="68" spans="1:11" ht="12.75" customHeight="1">
      <c r="A68" s="1"/>
      <c r="B68" s="1"/>
      <c r="C68" s="1"/>
      <c r="D68" s="1"/>
      <c r="E68" s="1"/>
      <c r="F68" s="1"/>
      <c r="G68" s="1"/>
      <c r="H68" s="1"/>
      <c r="I68" s="1"/>
      <c r="J68" s="1"/>
      <c r="K68" s="1"/>
    </row>
    <row r="69" spans="1:11" ht="12.75" customHeight="1">
      <c r="A69" s="1"/>
      <c r="B69" s="1"/>
      <c r="C69" s="1"/>
      <c r="D69" s="1"/>
      <c r="E69" s="1"/>
      <c r="F69" s="1"/>
      <c r="G69" s="1"/>
      <c r="H69" s="1"/>
      <c r="I69" s="1"/>
      <c r="J69" s="1"/>
      <c r="K69" s="1"/>
    </row>
    <row r="70" spans="1:11" ht="12.75" customHeight="1">
      <c r="A70" s="1"/>
      <c r="B70" s="1"/>
      <c r="C70" s="1"/>
      <c r="D70" s="1"/>
      <c r="E70" s="1"/>
      <c r="F70" s="1"/>
      <c r="G70" s="1"/>
      <c r="H70" s="1"/>
      <c r="I70" s="1"/>
      <c r="J70" s="1"/>
      <c r="K70" s="1"/>
    </row>
    <row r="71" spans="1:11" ht="12.75" customHeight="1">
      <c r="A71" s="1"/>
      <c r="B71" s="1"/>
      <c r="C71" s="1"/>
      <c r="D71" s="1"/>
      <c r="E71" s="1"/>
      <c r="F71" s="1"/>
      <c r="G71" s="1"/>
      <c r="H71" s="1"/>
      <c r="I71" s="1"/>
      <c r="J71" s="1"/>
      <c r="K71" s="1"/>
    </row>
    <row r="72" spans="1:11" ht="12.75" hidden="1" customHeight="1">
      <c r="A72" s="1"/>
      <c r="B72" s="1"/>
      <c r="C72" s="1"/>
      <c r="D72" s="1"/>
      <c r="E72" s="23"/>
      <c r="F72" s="1"/>
      <c r="G72" s="1"/>
      <c r="H72" s="1"/>
      <c r="I72" s="1"/>
      <c r="J72" s="1"/>
      <c r="K72" s="1"/>
    </row>
    <row r="73" spans="1:11" ht="12.75" hidden="1" customHeight="1">
      <c r="A73" s="1"/>
      <c r="B73" s="1"/>
      <c r="C73" s="24"/>
      <c r="D73" s="1"/>
      <c r="E73" s="23"/>
      <c r="F73" s="1"/>
      <c r="G73" s="1"/>
      <c r="H73" s="1"/>
      <c r="I73" s="1"/>
      <c r="J73" s="1"/>
      <c r="K73" s="1"/>
    </row>
    <row r="74" spans="1:11" ht="12.75" hidden="1" customHeight="1">
      <c r="A74" s="1"/>
      <c r="B74" s="76"/>
      <c r="C74" s="77"/>
      <c r="D74" s="1"/>
      <c r="E74" s="23"/>
      <c r="F74" s="1"/>
      <c r="G74" s="1"/>
      <c r="H74" s="1"/>
      <c r="I74" s="1"/>
      <c r="J74" s="1"/>
      <c r="K74" s="1"/>
    </row>
    <row r="75" spans="1:11" ht="12.75" hidden="1" customHeight="1">
      <c r="A75" s="1"/>
      <c r="B75" s="77"/>
      <c r="C75" s="77"/>
      <c r="D75" s="1"/>
      <c r="E75" s="1"/>
      <c r="F75" s="1"/>
      <c r="G75" s="1"/>
      <c r="H75" s="1"/>
      <c r="I75" s="1"/>
      <c r="J75" s="1"/>
      <c r="K75" s="1"/>
    </row>
    <row r="76" spans="1:11" ht="12.75" customHeight="1">
      <c r="A76" s="1"/>
      <c r="B76" s="1"/>
      <c r="C76" s="1"/>
      <c r="D76" s="1"/>
      <c r="E76" s="1"/>
      <c r="F76" s="1"/>
      <c r="G76" s="1"/>
      <c r="H76" s="1"/>
      <c r="I76" s="1"/>
      <c r="J76" s="1"/>
      <c r="K76" s="1"/>
    </row>
    <row r="77" spans="1:11" ht="12.75" customHeight="1">
      <c r="A77" s="1"/>
      <c r="B77" s="1"/>
      <c r="C77" s="1"/>
      <c r="D77" s="1"/>
      <c r="E77" s="1"/>
      <c r="F77" s="1"/>
      <c r="G77" s="1"/>
      <c r="H77" s="1"/>
      <c r="I77" s="1"/>
      <c r="J77" s="1"/>
      <c r="K77" s="1"/>
    </row>
    <row r="78" spans="1:11" ht="12.75" customHeight="1">
      <c r="A78" s="1"/>
      <c r="B78" s="1"/>
      <c r="C78" s="1"/>
      <c r="D78" s="1"/>
      <c r="E78" s="1"/>
      <c r="F78" s="1"/>
      <c r="G78" s="1"/>
      <c r="H78" s="1"/>
      <c r="I78" s="1"/>
      <c r="J78" s="1"/>
      <c r="K78" s="1"/>
    </row>
    <row r="79" spans="1:11" ht="12.75" customHeight="1">
      <c r="A79" s="1"/>
      <c r="B79" s="1"/>
      <c r="C79" s="1"/>
      <c r="D79" s="1"/>
      <c r="E79" s="1"/>
      <c r="F79" s="1"/>
      <c r="G79" s="1"/>
      <c r="H79" s="1"/>
      <c r="I79" s="1"/>
      <c r="J79" s="1"/>
      <c r="K79" s="1"/>
    </row>
    <row r="80" spans="1:11" ht="12.75" customHeight="1">
      <c r="A80" s="1"/>
      <c r="B80" s="1"/>
      <c r="C80" s="1"/>
      <c r="D80" s="1"/>
      <c r="E80" s="1"/>
      <c r="F80" s="1"/>
      <c r="G80" s="1"/>
      <c r="H80" s="1"/>
      <c r="I80" s="1"/>
      <c r="J80" s="1"/>
      <c r="K80" s="1"/>
    </row>
    <row r="81" spans="1:11" ht="12.75" customHeight="1">
      <c r="A81" s="1"/>
      <c r="B81" s="1"/>
      <c r="C81" s="1"/>
      <c r="D81" s="1"/>
      <c r="E81" s="1"/>
      <c r="F81" s="1"/>
      <c r="G81" s="1"/>
      <c r="H81" s="1"/>
      <c r="I81" s="1"/>
      <c r="J81" s="1"/>
      <c r="K81" s="1"/>
    </row>
    <row r="82" spans="1:11" ht="12.75" customHeight="1">
      <c r="A82" s="1"/>
      <c r="B82" s="1"/>
      <c r="C82" s="1"/>
      <c r="D82" s="1"/>
      <c r="E82" s="1"/>
      <c r="F82" s="1"/>
      <c r="G82" s="1"/>
      <c r="H82" s="1"/>
      <c r="I82" s="1"/>
      <c r="J82" s="1"/>
      <c r="K82" s="1"/>
    </row>
    <row r="83" spans="1:11" ht="12.75" customHeight="1">
      <c r="A83" s="1"/>
      <c r="B83" s="1"/>
      <c r="C83" s="1"/>
      <c r="D83" s="1"/>
      <c r="E83" s="1"/>
      <c r="F83" s="1"/>
      <c r="G83" s="1"/>
      <c r="H83" s="1"/>
      <c r="I83" s="1"/>
      <c r="J83" s="1"/>
      <c r="K83" s="1"/>
    </row>
    <row r="84" spans="1:11" ht="12.75" customHeight="1">
      <c r="A84" s="1"/>
      <c r="B84" s="1"/>
      <c r="C84" s="1"/>
      <c r="D84" s="1"/>
      <c r="E84" s="1"/>
      <c r="F84" s="1"/>
      <c r="G84" s="1"/>
      <c r="H84" s="1"/>
      <c r="I84" s="1"/>
      <c r="J84" s="1"/>
      <c r="K84" s="1"/>
    </row>
    <row r="85" spans="1:11" ht="12.75" customHeight="1">
      <c r="A85" s="1"/>
      <c r="B85" s="1"/>
      <c r="C85" s="1"/>
      <c r="D85" s="1"/>
      <c r="E85" s="1"/>
      <c r="F85" s="1"/>
      <c r="G85" s="1"/>
      <c r="H85" s="1"/>
      <c r="I85" s="1"/>
      <c r="J85" s="1"/>
      <c r="K85" s="1"/>
    </row>
    <row r="86" spans="1:11" ht="12.75" customHeight="1">
      <c r="A86" s="1"/>
      <c r="B86" s="1"/>
      <c r="C86" s="1"/>
      <c r="D86" s="1"/>
      <c r="E86" s="1"/>
      <c r="F86" s="1"/>
      <c r="G86" s="1"/>
      <c r="H86" s="1"/>
      <c r="I86" s="1"/>
      <c r="J86" s="1"/>
      <c r="K86" s="1"/>
    </row>
    <row r="87" spans="1:11" ht="12.75" customHeight="1">
      <c r="A87" s="1"/>
      <c r="B87" s="1"/>
      <c r="C87" s="1"/>
      <c r="D87" s="1"/>
      <c r="E87" s="1"/>
      <c r="F87" s="1"/>
      <c r="G87" s="1"/>
      <c r="H87" s="1"/>
      <c r="I87" s="1"/>
      <c r="J87" s="1"/>
      <c r="K87" s="1"/>
    </row>
    <row r="88" spans="1:11" ht="12.75" customHeight="1">
      <c r="A88" s="1"/>
      <c r="B88" s="1"/>
      <c r="C88" s="1"/>
      <c r="D88" s="1"/>
      <c r="E88" s="1"/>
      <c r="F88" s="1"/>
      <c r="G88" s="1"/>
      <c r="H88" s="1"/>
      <c r="I88" s="1"/>
      <c r="J88" s="1"/>
      <c r="K88" s="1"/>
    </row>
    <row r="89" spans="1:11" ht="12.75" customHeight="1">
      <c r="A89" s="1"/>
      <c r="B89" s="1"/>
      <c r="C89" s="1"/>
      <c r="D89" s="1"/>
      <c r="E89" s="1"/>
      <c r="F89" s="1"/>
      <c r="G89" s="1"/>
      <c r="H89" s="1"/>
      <c r="I89" s="1"/>
      <c r="J89" s="1"/>
      <c r="K89" s="1"/>
    </row>
    <row r="90" spans="1:11" ht="12.75" customHeight="1">
      <c r="A90" s="1"/>
      <c r="B90" s="1"/>
      <c r="C90" s="1"/>
      <c r="D90" s="1"/>
      <c r="E90" s="1"/>
      <c r="F90" s="1"/>
      <c r="G90" s="1"/>
      <c r="H90" s="1"/>
      <c r="I90" s="1"/>
      <c r="J90" s="1"/>
      <c r="K90" s="1"/>
    </row>
    <row r="91" spans="1:11" ht="12.75" customHeight="1">
      <c r="A91" s="1"/>
      <c r="B91" s="1"/>
      <c r="C91" s="1"/>
      <c r="D91" s="1"/>
      <c r="E91" s="1"/>
      <c r="F91" s="1"/>
      <c r="G91" s="1"/>
      <c r="H91" s="1"/>
      <c r="I91" s="1"/>
      <c r="J91" s="1"/>
      <c r="K91" s="1"/>
    </row>
    <row r="92" spans="1:11" ht="12.75" customHeight="1">
      <c r="A92" s="1"/>
      <c r="B92" s="1"/>
      <c r="C92" s="1"/>
      <c r="D92" s="1"/>
      <c r="E92" s="1"/>
      <c r="F92" s="1"/>
      <c r="G92" s="1"/>
      <c r="H92" s="1"/>
      <c r="I92" s="1"/>
      <c r="J92" s="1"/>
      <c r="K92" s="1"/>
    </row>
    <row r="93" spans="1:11" ht="12.75" customHeight="1">
      <c r="A93" s="1"/>
      <c r="B93" s="1"/>
      <c r="C93" s="1"/>
      <c r="D93" s="1"/>
      <c r="E93" s="1"/>
      <c r="F93" s="1"/>
      <c r="G93" s="1"/>
      <c r="H93" s="1"/>
      <c r="I93" s="1"/>
      <c r="J93" s="1"/>
      <c r="K93" s="1"/>
    </row>
    <row r="94" spans="1:11" ht="12.75" customHeight="1">
      <c r="A94" s="1"/>
      <c r="B94" s="1"/>
      <c r="C94" s="1"/>
      <c r="D94" s="1"/>
      <c r="E94" s="1"/>
      <c r="F94" s="1"/>
      <c r="G94" s="1"/>
      <c r="H94" s="1"/>
      <c r="I94" s="1"/>
      <c r="J94" s="1"/>
      <c r="K94" s="1"/>
    </row>
    <row r="95" spans="1:11" ht="12.75" customHeight="1">
      <c r="A95" s="1"/>
      <c r="B95" s="1"/>
      <c r="C95" s="1"/>
      <c r="D95" s="1"/>
      <c r="E95" s="1"/>
      <c r="F95" s="1"/>
      <c r="G95" s="1"/>
      <c r="H95" s="1"/>
      <c r="I95" s="1"/>
      <c r="J95" s="1"/>
      <c r="K95" s="1"/>
    </row>
    <row r="96" spans="1:11" ht="12.75" customHeight="1">
      <c r="A96" s="1"/>
      <c r="B96" s="1"/>
      <c r="C96" s="1"/>
      <c r="D96" s="1"/>
      <c r="E96" s="1"/>
      <c r="F96" s="1"/>
      <c r="G96" s="1"/>
      <c r="H96" s="1"/>
      <c r="I96" s="1"/>
      <c r="J96" s="1"/>
      <c r="K96" s="1"/>
    </row>
    <row r="97" spans="1:11" ht="12.75" customHeight="1">
      <c r="A97" s="1"/>
      <c r="B97" s="1"/>
      <c r="C97" s="1"/>
      <c r="D97" s="1"/>
      <c r="E97" s="1"/>
      <c r="F97" s="1"/>
      <c r="G97" s="1"/>
      <c r="H97" s="1"/>
      <c r="I97" s="1"/>
      <c r="J97" s="1"/>
      <c r="K97" s="1"/>
    </row>
    <row r="98" spans="1:11" ht="12.75" customHeight="1">
      <c r="A98" s="1"/>
      <c r="B98" s="1"/>
      <c r="C98" s="1"/>
      <c r="D98" s="1"/>
      <c r="E98" s="1"/>
      <c r="F98" s="1"/>
      <c r="G98" s="1"/>
      <c r="H98" s="1"/>
      <c r="I98" s="1"/>
      <c r="J98" s="1"/>
      <c r="K98" s="1"/>
    </row>
    <row r="99" spans="1:11" ht="12.75" customHeight="1">
      <c r="A99" s="1"/>
      <c r="B99" s="1"/>
      <c r="C99" s="1"/>
      <c r="D99" s="1"/>
      <c r="E99" s="1"/>
      <c r="F99" s="1"/>
      <c r="G99" s="1"/>
      <c r="H99" s="1"/>
      <c r="I99" s="1"/>
      <c r="J99" s="1"/>
      <c r="K99" s="1"/>
    </row>
    <row r="100" spans="1:11" ht="12.75" customHeight="1">
      <c r="A100" s="1"/>
      <c r="B100" s="1"/>
      <c r="C100" s="1"/>
      <c r="D100" s="1"/>
      <c r="E100" s="1"/>
      <c r="F100" s="1"/>
      <c r="G100" s="1"/>
      <c r="H100" s="1"/>
      <c r="I100" s="1"/>
      <c r="J100" s="1"/>
      <c r="K100" s="1"/>
    </row>
  </sheetData>
  <mergeCells count="60">
    <mergeCell ref="A10:I10"/>
    <mergeCell ref="A11:I11"/>
    <mergeCell ref="A4:I4"/>
    <mergeCell ref="C5:I5"/>
    <mergeCell ref="A6:I6"/>
    <mergeCell ref="A7:I7"/>
    <mergeCell ref="A8:I8"/>
    <mergeCell ref="A9:I9"/>
    <mergeCell ref="A5:B5"/>
    <mergeCell ref="F34:F37"/>
    <mergeCell ref="G34:G37"/>
    <mergeCell ref="H34:H37"/>
    <mergeCell ref="I34:I37"/>
    <mergeCell ref="D41:I41"/>
    <mergeCell ref="D38:E38"/>
    <mergeCell ref="D39:E39"/>
    <mergeCell ref="D40:E40"/>
    <mergeCell ref="D13:E13"/>
    <mergeCell ref="B14:C17"/>
    <mergeCell ref="A13:C13"/>
    <mergeCell ref="A14:A17"/>
    <mergeCell ref="D12:I12"/>
    <mergeCell ref="A12:C12"/>
    <mergeCell ref="I14:I17"/>
    <mergeCell ref="F14:F17"/>
    <mergeCell ref="G14:G17"/>
    <mergeCell ref="H14:H17"/>
    <mergeCell ref="A34:A37"/>
    <mergeCell ref="B34:C37"/>
    <mergeCell ref="B74:C75"/>
    <mergeCell ref="B24:C27"/>
    <mergeCell ref="B19:C22"/>
    <mergeCell ref="A33:C33"/>
    <mergeCell ref="A29:A32"/>
    <mergeCell ref="B29:C32"/>
    <mergeCell ref="A41:C41"/>
    <mergeCell ref="A40:C40"/>
    <mergeCell ref="A38:C38"/>
    <mergeCell ref="A39:C39"/>
    <mergeCell ref="A18:C18"/>
    <mergeCell ref="D28:E28"/>
    <mergeCell ref="I19:I22"/>
    <mergeCell ref="A24:A27"/>
    <mergeCell ref="A19:A22"/>
    <mergeCell ref="A28:C28"/>
    <mergeCell ref="G24:G27"/>
    <mergeCell ref="H24:H27"/>
    <mergeCell ref="I24:I27"/>
    <mergeCell ref="A23:C23"/>
    <mergeCell ref="I29:I32"/>
    <mergeCell ref="D33:E33"/>
    <mergeCell ref="D18:E18"/>
    <mergeCell ref="F19:F22"/>
    <mergeCell ref="G19:G22"/>
    <mergeCell ref="H19:H22"/>
    <mergeCell ref="F24:F27"/>
    <mergeCell ref="D23:E23"/>
    <mergeCell ref="F29:F32"/>
    <mergeCell ref="G29:G32"/>
    <mergeCell ref="H29:H32"/>
  </mergeCells>
  <conditionalFormatting sqref="J18">
    <cfRule type="expression" dxfId="11" priority="1">
      <formula>"X"</formula>
    </cfRule>
  </conditionalFormatting>
  <conditionalFormatting sqref="J23">
    <cfRule type="expression" dxfId="10" priority="2">
      <formula>"X"</formula>
    </cfRule>
  </conditionalFormatting>
  <conditionalFormatting sqref="J28">
    <cfRule type="expression" dxfId="9" priority="3">
      <formula>"X"</formula>
    </cfRule>
  </conditionalFormatting>
  <conditionalFormatting sqref="J33">
    <cfRule type="expression" dxfId="8" priority="4">
      <formula>"X"</formula>
    </cfRule>
  </conditionalFormatting>
  <conditionalFormatting sqref="J38">
    <cfRule type="expression" dxfId="7" priority="5">
      <formula>"X"</formula>
    </cfRule>
  </conditionalFormatting>
  <pageMargins left="0.196527777777778" right="0" top="0" bottom="0" header="0" footer="0"/>
  <pageSetup paperSize="9" scale="83"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100"/>
  <sheetViews>
    <sheetView showGridLines="0" topLeftCell="A40" workbookViewId="0">
      <selection activeCell="F28" sqref="F28:G28"/>
    </sheetView>
  </sheetViews>
  <sheetFormatPr defaultColWidth="14.36328125" defaultRowHeight="15" customHeight="1"/>
  <cols>
    <col min="1" max="1" width="3.7265625" customWidth="1"/>
    <col min="2" max="2" width="13" customWidth="1"/>
    <col min="3" max="3" width="11.1796875" customWidth="1"/>
    <col min="4" max="4" width="3" customWidth="1"/>
    <col min="5" max="5" width="15.90625" customWidth="1"/>
    <col min="6" max="6" width="3" customWidth="1"/>
    <col min="7" max="7" width="18.54296875" customWidth="1"/>
    <col min="8" max="8" width="3" customWidth="1"/>
    <col min="9" max="9" width="23.36328125" customWidth="1"/>
    <col min="10" max="10" width="8.984375E-2" customWidth="1"/>
    <col min="11" max="11" width="23.6328125" customWidth="1"/>
    <col min="12" max="12" width="15.453125" customWidth="1"/>
    <col min="13" max="13" width="9.1796875" customWidth="1"/>
  </cols>
  <sheetData>
    <row r="1" spans="1:13" ht="12.75" customHeight="1">
      <c r="A1" s="32"/>
      <c r="B1" s="33"/>
      <c r="C1" s="1"/>
      <c r="D1" s="1"/>
      <c r="E1" s="1"/>
      <c r="F1" s="1"/>
      <c r="G1" s="1"/>
      <c r="H1" s="1"/>
      <c r="I1" s="1"/>
      <c r="J1" s="1"/>
      <c r="K1" s="1"/>
      <c r="L1" s="1"/>
      <c r="M1" s="26"/>
    </row>
    <row r="2" spans="1:13" ht="18" customHeight="1">
      <c r="A2" s="32"/>
      <c r="B2" s="6" t="s">
        <v>7</v>
      </c>
      <c r="C2" s="1" t="s">
        <v>8</v>
      </c>
      <c r="D2" s="1"/>
      <c r="E2" s="1"/>
      <c r="F2" s="1"/>
      <c r="G2" s="1"/>
      <c r="H2" s="1"/>
      <c r="I2" s="1"/>
      <c r="J2" s="1"/>
      <c r="K2" s="1"/>
      <c r="L2" s="1"/>
      <c r="M2" s="26"/>
    </row>
    <row r="3" spans="1:13" ht="12.75" customHeight="1">
      <c r="A3" s="1"/>
      <c r="B3" s="1"/>
      <c r="C3" s="1"/>
      <c r="D3" s="1"/>
      <c r="E3" s="1"/>
      <c r="F3" s="1"/>
      <c r="G3" s="1"/>
      <c r="H3" s="1"/>
      <c r="I3" s="1"/>
      <c r="J3" s="1"/>
      <c r="K3" s="1"/>
      <c r="L3" s="1"/>
      <c r="M3" s="1"/>
    </row>
    <row r="4" spans="1:13" ht="12.75" customHeight="1">
      <c r="A4" s="56" t="s">
        <v>142</v>
      </c>
      <c r="B4" s="57"/>
      <c r="C4" s="57"/>
      <c r="D4" s="57"/>
      <c r="E4" s="57"/>
      <c r="F4" s="57"/>
      <c r="G4" s="57"/>
      <c r="H4" s="57"/>
      <c r="I4" s="57"/>
      <c r="J4" s="57"/>
      <c r="K4" s="57"/>
      <c r="L4" s="58"/>
      <c r="M4" s="1"/>
    </row>
    <row r="5" spans="1:13" ht="12.75" customHeight="1">
      <c r="A5" s="61" t="s">
        <v>143</v>
      </c>
      <c r="B5" s="62"/>
      <c r="C5" s="63"/>
      <c r="D5" s="51"/>
      <c r="E5" s="51"/>
      <c r="F5" s="51"/>
      <c r="G5" s="51"/>
      <c r="H5" s="51"/>
      <c r="I5" s="51"/>
      <c r="J5" s="51"/>
      <c r="K5" s="51"/>
      <c r="L5" s="52"/>
      <c r="M5" s="1"/>
    </row>
    <row r="6" spans="1:13" ht="12.75" customHeight="1">
      <c r="A6" s="53" t="s">
        <v>13</v>
      </c>
      <c r="B6" s="51"/>
      <c r="C6" s="51"/>
      <c r="D6" s="51"/>
      <c r="E6" s="51"/>
      <c r="F6" s="51"/>
      <c r="G6" s="51"/>
      <c r="H6" s="51"/>
      <c r="I6" s="51"/>
      <c r="J6" s="51"/>
      <c r="K6" s="51"/>
      <c r="L6" s="52"/>
      <c r="M6" s="1"/>
    </row>
    <row r="7" spans="1:13" ht="21.5" customHeight="1">
      <c r="A7" s="50" t="s">
        <v>144</v>
      </c>
      <c r="B7" s="51"/>
      <c r="C7" s="51"/>
      <c r="D7" s="51"/>
      <c r="E7" s="51"/>
      <c r="F7" s="51"/>
      <c r="G7" s="51"/>
      <c r="H7" s="51"/>
      <c r="I7" s="51"/>
      <c r="J7" s="51"/>
      <c r="K7" s="51"/>
      <c r="L7" s="52"/>
      <c r="M7" s="1"/>
    </row>
    <row r="8" spans="1:13" ht="12.75" customHeight="1">
      <c r="A8" s="53" t="s">
        <v>15</v>
      </c>
      <c r="B8" s="51"/>
      <c r="C8" s="51"/>
      <c r="D8" s="51"/>
      <c r="E8" s="51"/>
      <c r="F8" s="51"/>
      <c r="G8" s="51"/>
      <c r="H8" s="51"/>
      <c r="I8" s="51"/>
      <c r="J8" s="51"/>
      <c r="K8" s="51"/>
      <c r="L8" s="52"/>
      <c r="M8" s="1"/>
    </row>
    <row r="9" spans="1:13" ht="22" customHeight="1">
      <c r="A9" s="54" t="s">
        <v>145</v>
      </c>
      <c r="B9" s="51"/>
      <c r="C9" s="51"/>
      <c r="D9" s="51"/>
      <c r="E9" s="51"/>
      <c r="F9" s="51"/>
      <c r="G9" s="51"/>
      <c r="H9" s="51"/>
      <c r="I9" s="51"/>
      <c r="J9" s="51"/>
      <c r="K9" s="51"/>
      <c r="L9" s="52"/>
      <c r="M9" s="1"/>
    </row>
    <row r="10" spans="1:13" ht="12.75" customHeight="1">
      <c r="A10" s="53" t="s">
        <v>17</v>
      </c>
      <c r="B10" s="51"/>
      <c r="C10" s="51"/>
      <c r="D10" s="51"/>
      <c r="E10" s="51"/>
      <c r="F10" s="51"/>
      <c r="G10" s="51"/>
      <c r="H10" s="51"/>
      <c r="I10" s="51"/>
      <c r="J10" s="51"/>
      <c r="K10" s="51"/>
      <c r="L10" s="52"/>
      <c r="M10" s="1"/>
    </row>
    <row r="11" spans="1:13" ht="42.5" customHeight="1">
      <c r="A11" s="50" t="s">
        <v>146</v>
      </c>
      <c r="B11" s="51"/>
      <c r="C11" s="51"/>
      <c r="D11" s="51"/>
      <c r="E11" s="51"/>
      <c r="F11" s="51"/>
      <c r="G11" s="51"/>
      <c r="H11" s="51"/>
      <c r="I11" s="51"/>
      <c r="J11" s="51"/>
      <c r="K11" s="51"/>
      <c r="L11" s="52"/>
      <c r="M11" s="1"/>
    </row>
    <row r="12" spans="1:13" ht="15.75" customHeight="1">
      <c r="A12" s="105" t="s">
        <v>19</v>
      </c>
      <c r="B12" s="51"/>
      <c r="C12" s="62"/>
      <c r="D12" s="106" t="s">
        <v>20</v>
      </c>
      <c r="E12" s="51"/>
      <c r="F12" s="51"/>
      <c r="G12" s="51"/>
      <c r="H12" s="51"/>
      <c r="I12" s="51"/>
      <c r="J12" s="51"/>
      <c r="K12" s="51"/>
      <c r="L12" s="52"/>
      <c r="M12" s="1"/>
    </row>
    <row r="13" spans="1:13" ht="45" customHeight="1">
      <c r="A13" s="107" t="s">
        <v>147</v>
      </c>
      <c r="B13" s="51"/>
      <c r="C13" s="62"/>
      <c r="D13" s="108">
        <v>4</v>
      </c>
      <c r="E13" s="109"/>
      <c r="F13" s="108">
        <v>3</v>
      </c>
      <c r="G13" s="109"/>
      <c r="H13" s="108">
        <v>2</v>
      </c>
      <c r="I13" s="109"/>
      <c r="J13" s="108">
        <v>1</v>
      </c>
      <c r="K13" s="109"/>
      <c r="L13" s="10">
        <v>0</v>
      </c>
      <c r="M13" s="1"/>
    </row>
    <row r="14" spans="1:13" ht="38.25" customHeight="1">
      <c r="A14" s="110" t="s">
        <v>22</v>
      </c>
      <c r="B14" s="78" t="s">
        <v>148</v>
      </c>
      <c r="C14" s="79"/>
      <c r="D14" s="34" t="s">
        <v>24</v>
      </c>
      <c r="E14" s="35" t="s">
        <v>149</v>
      </c>
      <c r="F14" s="34" t="s">
        <v>24</v>
      </c>
      <c r="G14" s="35" t="s">
        <v>150</v>
      </c>
      <c r="H14" s="34" t="s">
        <v>24</v>
      </c>
      <c r="I14" s="35" t="s">
        <v>151</v>
      </c>
      <c r="J14" s="34" t="s">
        <v>24</v>
      </c>
      <c r="K14" s="35" t="s">
        <v>152</v>
      </c>
      <c r="L14" s="104" t="s">
        <v>153</v>
      </c>
      <c r="M14" s="1"/>
    </row>
    <row r="15" spans="1:13" ht="33" customHeight="1">
      <c r="A15" s="90"/>
      <c r="B15" s="80"/>
      <c r="C15" s="77"/>
      <c r="D15" s="36" t="s">
        <v>30</v>
      </c>
      <c r="E15" s="25" t="s">
        <v>154</v>
      </c>
      <c r="F15" s="36" t="s">
        <v>30</v>
      </c>
      <c r="G15" s="76" t="s">
        <v>155</v>
      </c>
      <c r="H15" s="36" t="s">
        <v>30</v>
      </c>
      <c r="I15" s="76" t="s">
        <v>156</v>
      </c>
      <c r="J15" s="36" t="s">
        <v>30</v>
      </c>
      <c r="K15" s="76" t="s">
        <v>156</v>
      </c>
      <c r="L15" s="68"/>
      <c r="M15" s="1"/>
    </row>
    <row r="16" spans="1:13" ht="21.75" customHeight="1">
      <c r="A16" s="90"/>
      <c r="B16" s="80"/>
      <c r="C16" s="77"/>
      <c r="D16" s="36" t="s">
        <v>32</v>
      </c>
      <c r="E16" s="25" t="s">
        <v>157</v>
      </c>
      <c r="F16" s="36"/>
      <c r="G16" s="77"/>
      <c r="H16" s="36"/>
      <c r="I16" s="77"/>
      <c r="J16" s="36"/>
      <c r="K16" s="77"/>
      <c r="L16" s="68"/>
      <c r="M16" s="1"/>
    </row>
    <row r="17" spans="1:13" ht="54.5" customHeight="1">
      <c r="A17" s="91"/>
      <c r="B17" s="81"/>
      <c r="C17" s="82"/>
      <c r="D17" s="37" t="s">
        <v>84</v>
      </c>
      <c r="E17" s="38" t="s">
        <v>158</v>
      </c>
      <c r="F17" s="37"/>
      <c r="G17" s="82"/>
      <c r="H17" s="37"/>
      <c r="I17" s="82"/>
      <c r="J17" s="37"/>
      <c r="K17" s="82"/>
      <c r="L17" s="69"/>
      <c r="M17" s="1"/>
    </row>
    <row r="18" spans="1:13" ht="18" customHeight="1">
      <c r="A18" s="84" t="s">
        <v>34</v>
      </c>
      <c r="B18" s="74"/>
      <c r="C18" s="75"/>
      <c r="D18" s="85"/>
      <c r="E18" s="75"/>
      <c r="F18" s="85"/>
      <c r="G18" s="75"/>
      <c r="H18" s="85"/>
      <c r="I18" s="75"/>
      <c r="J18" s="123"/>
      <c r="K18" s="74"/>
      <c r="L18" s="39"/>
      <c r="M18" s="13">
        <f>IF((D18+F18+H18+J18+L18)&gt;1,"X",IF((D18+F18+H18+J18+L18)=0,0,""))</f>
        <v>0</v>
      </c>
    </row>
    <row r="19" spans="1:13" ht="38.25" customHeight="1">
      <c r="A19" s="89" t="s">
        <v>35</v>
      </c>
      <c r="B19" s="83" t="s">
        <v>159</v>
      </c>
      <c r="C19" s="77"/>
      <c r="D19" s="36" t="s">
        <v>24</v>
      </c>
      <c r="E19" s="25" t="s">
        <v>149</v>
      </c>
      <c r="F19" s="36" t="s">
        <v>24</v>
      </c>
      <c r="G19" s="15" t="s">
        <v>150</v>
      </c>
      <c r="H19" s="36" t="s">
        <v>24</v>
      </c>
      <c r="I19" s="15" t="s">
        <v>151</v>
      </c>
      <c r="J19" s="36" t="s">
        <v>24</v>
      </c>
      <c r="K19" s="25" t="s">
        <v>152</v>
      </c>
      <c r="L19" s="67" t="s">
        <v>153</v>
      </c>
      <c r="M19" s="13"/>
    </row>
    <row r="20" spans="1:13" ht="33" customHeight="1">
      <c r="A20" s="90"/>
      <c r="B20" s="80"/>
      <c r="C20" s="77"/>
      <c r="D20" s="36" t="s">
        <v>30</v>
      </c>
      <c r="E20" s="25" t="s">
        <v>154</v>
      </c>
      <c r="F20" s="36" t="s">
        <v>30</v>
      </c>
      <c r="G20" s="100" t="s">
        <v>155</v>
      </c>
      <c r="H20" s="36" t="s">
        <v>30</v>
      </c>
      <c r="I20" s="100" t="s">
        <v>156</v>
      </c>
      <c r="J20" s="36" t="s">
        <v>30</v>
      </c>
      <c r="K20" s="76" t="s">
        <v>156</v>
      </c>
      <c r="L20" s="68"/>
      <c r="M20" s="13"/>
    </row>
    <row r="21" spans="1:13" ht="21.75" customHeight="1">
      <c r="A21" s="90"/>
      <c r="B21" s="80"/>
      <c r="C21" s="77"/>
      <c r="D21" s="36" t="s">
        <v>32</v>
      </c>
      <c r="E21" s="25" t="s">
        <v>157</v>
      </c>
      <c r="F21" s="36"/>
      <c r="G21" s="101"/>
      <c r="H21" s="36"/>
      <c r="I21" s="101"/>
      <c r="J21" s="36"/>
      <c r="K21" s="77"/>
      <c r="L21" s="68"/>
      <c r="M21" s="13"/>
    </row>
    <row r="22" spans="1:13" ht="68.5" customHeight="1">
      <c r="A22" s="91"/>
      <c r="B22" s="81"/>
      <c r="C22" s="82"/>
      <c r="D22" s="37" t="s">
        <v>84</v>
      </c>
      <c r="E22" s="38" t="s">
        <v>158</v>
      </c>
      <c r="F22" s="37"/>
      <c r="G22" s="102"/>
      <c r="H22" s="37"/>
      <c r="I22" s="102"/>
      <c r="J22" s="37"/>
      <c r="K22" s="82"/>
      <c r="L22" s="69"/>
      <c r="M22" s="13"/>
    </row>
    <row r="23" spans="1:13" ht="18.75" customHeight="1">
      <c r="A23" s="131" t="s">
        <v>34</v>
      </c>
      <c r="B23" s="51"/>
      <c r="C23" s="62"/>
      <c r="D23" s="127"/>
      <c r="E23" s="128"/>
      <c r="F23" s="127"/>
      <c r="G23" s="128"/>
      <c r="H23" s="127"/>
      <c r="I23" s="128"/>
      <c r="J23" s="130"/>
      <c r="K23" s="128"/>
      <c r="L23" s="40"/>
      <c r="M23" s="13">
        <f>IF((D23+F23+H23+J23+L23)&gt;1,"X",IF((D23+F23+H23+J23+L23)=0,0,""))</f>
        <v>0</v>
      </c>
    </row>
    <row r="24" spans="1:13" ht="38.25" customHeight="1">
      <c r="A24" s="110" t="s">
        <v>37</v>
      </c>
      <c r="B24" s="78" t="s">
        <v>160</v>
      </c>
      <c r="C24" s="79"/>
      <c r="D24" s="34" t="s">
        <v>24</v>
      </c>
      <c r="E24" s="12" t="s">
        <v>149</v>
      </c>
      <c r="F24" s="34" t="s">
        <v>24</v>
      </c>
      <c r="G24" s="12" t="s">
        <v>150</v>
      </c>
      <c r="H24" s="34" t="s">
        <v>24</v>
      </c>
      <c r="I24" s="12" t="s">
        <v>151</v>
      </c>
      <c r="J24" s="34" t="s">
        <v>24</v>
      </c>
      <c r="K24" s="12" t="s">
        <v>152</v>
      </c>
      <c r="L24" s="129" t="s">
        <v>153</v>
      </c>
      <c r="M24" s="13"/>
    </row>
    <row r="25" spans="1:13" ht="33" customHeight="1">
      <c r="A25" s="90"/>
      <c r="B25" s="80"/>
      <c r="C25" s="77"/>
      <c r="D25" s="36" t="s">
        <v>30</v>
      </c>
      <c r="E25" s="15" t="s">
        <v>154</v>
      </c>
      <c r="F25" s="36" t="s">
        <v>30</v>
      </c>
      <c r="G25" s="100" t="s">
        <v>155</v>
      </c>
      <c r="H25" s="36" t="s">
        <v>30</v>
      </c>
      <c r="I25" s="100" t="s">
        <v>156</v>
      </c>
      <c r="J25" s="36" t="s">
        <v>30</v>
      </c>
      <c r="K25" s="100" t="s">
        <v>156</v>
      </c>
      <c r="L25" s="121"/>
      <c r="M25" s="13"/>
    </row>
    <row r="26" spans="1:13" ht="21.75" customHeight="1">
      <c r="A26" s="90"/>
      <c r="B26" s="80"/>
      <c r="C26" s="77"/>
      <c r="D26" s="36" t="s">
        <v>32</v>
      </c>
      <c r="E26" s="15" t="s">
        <v>157</v>
      </c>
      <c r="F26" s="36"/>
      <c r="G26" s="101"/>
      <c r="H26" s="36"/>
      <c r="I26" s="101"/>
      <c r="J26" s="36"/>
      <c r="K26" s="101"/>
      <c r="L26" s="121"/>
      <c r="M26" s="13"/>
    </row>
    <row r="27" spans="1:13" ht="57.75" customHeight="1">
      <c r="A27" s="91"/>
      <c r="B27" s="81"/>
      <c r="C27" s="82"/>
      <c r="D27" s="37" t="s">
        <v>84</v>
      </c>
      <c r="E27" s="17" t="s">
        <v>158</v>
      </c>
      <c r="F27" s="37"/>
      <c r="G27" s="102"/>
      <c r="H27" s="37"/>
      <c r="I27" s="102"/>
      <c r="J27" s="37"/>
      <c r="K27" s="102"/>
      <c r="L27" s="122"/>
      <c r="M27" s="13"/>
    </row>
    <row r="28" spans="1:13" ht="18" customHeight="1">
      <c r="A28" s="84" t="s">
        <v>34</v>
      </c>
      <c r="B28" s="74"/>
      <c r="C28" s="75"/>
      <c r="D28" s="85"/>
      <c r="E28" s="75"/>
      <c r="F28" s="85">
        <v>1</v>
      </c>
      <c r="G28" s="75"/>
      <c r="H28" s="85"/>
      <c r="I28" s="75"/>
      <c r="J28" s="123"/>
      <c r="K28" s="75"/>
      <c r="L28" s="39"/>
      <c r="M28" s="13" t="str">
        <f>IF((D28+F28+H28+J28+L28)&gt;1,"X",IF((D28+F28+H28+J28+L28)=0,0,""))</f>
        <v/>
      </c>
    </row>
    <row r="29" spans="1:13" ht="38.25" customHeight="1">
      <c r="A29" s="89" t="s">
        <v>66</v>
      </c>
      <c r="B29" s="83" t="s">
        <v>161</v>
      </c>
      <c r="C29" s="77"/>
      <c r="D29" s="36" t="s">
        <v>24</v>
      </c>
      <c r="E29" s="15" t="s">
        <v>162</v>
      </c>
      <c r="F29" s="36" t="s">
        <v>24</v>
      </c>
      <c r="G29" s="15" t="s">
        <v>163</v>
      </c>
      <c r="H29" s="36" t="s">
        <v>24</v>
      </c>
      <c r="I29" s="15" t="s">
        <v>164</v>
      </c>
      <c r="J29" s="36" t="s">
        <v>24</v>
      </c>
      <c r="K29" s="15" t="s">
        <v>165</v>
      </c>
      <c r="L29" s="120" t="s">
        <v>153</v>
      </c>
      <c r="M29" s="13"/>
    </row>
    <row r="30" spans="1:13" ht="37.5" customHeight="1">
      <c r="A30" s="90"/>
      <c r="B30" s="80"/>
      <c r="C30" s="77"/>
      <c r="D30" s="36" t="s">
        <v>30</v>
      </c>
      <c r="E30" s="15" t="s">
        <v>154</v>
      </c>
      <c r="F30" s="36" t="s">
        <v>30</v>
      </c>
      <c r="G30" s="100" t="s">
        <v>155</v>
      </c>
      <c r="H30" s="36" t="s">
        <v>30</v>
      </c>
      <c r="I30" s="100" t="s">
        <v>166</v>
      </c>
      <c r="J30" s="36" t="s">
        <v>30</v>
      </c>
      <c r="K30" s="100" t="s">
        <v>167</v>
      </c>
      <c r="L30" s="121"/>
      <c r="M30" s="13"/>
    </row>
    <row r="31" spans="1:13" ht="21.75" customHeight="1">
      <c r="A31" s="90"/>
      <c r="B31" s="80"/>
      <c r="C31" s="77"/>
      <c r="D31" s="36" t="s">
        <v>32</v>
      </c>
      <c r="E31" s="15" t="s">
        <v>157</v>
      </c>
      <c r="F31" s="36"/>
      <c r="G31" s="101"/>
      <c r="H31" s="36"/>
      <c r="I31" s="101"/>
      <c r="J31" s="36"/>
      <c r="K31" s="101"/>
      <c r="L31" s="121"/>
      <c r="M31" s="13"/>
    </row>
    <row r="32" spans="1:13" ht="69.5" customHeight="1">
      <c r="A32" s="91"/>
      <c r="B32" s="81"/>
      <c r="C32" s="82"/>
      <c r="D32" s="37" t="s">
        <v>84</v>
      </c>
      <c r="E32" s="17" t="s">
        <v>158</v>
      </c>
      <c r="F32" s="37"/>
      <c r="G32" s="102"/>
      <c r="H32" s="37"/>
      <c r="I32" s="102"/>
      <c r="J32" s="37"/>
      <c r="K32" s="102"/>
      <c r="L32" s="122"/>
      <c r="M32" s="13"/>
    </row>
    <row r="33" spans="1:13" ht="18.75" customHeight="1">
      <c r="A33" s="84" t="s">
        <v>34</v>
      </c>
      <c r="B33" s="74"/>
      <c r="C33" s="75"/>
      <c r="D33" s="85"/>
      <c r="E33" s="75"/>
      <c r="F33" s="85"/>
      <c r="G33" s="75"/>
      <c r="H33" s="85"/>
      <c r="I33" s="75"/>
      <c r="J33" s="123"/>
      <c r="K33" s="75"/>
      <c r="L33" s="39"/>
      <c r="M33" s="13">
        <f>IF((D33+F33+H33+J33+L33)&gt;1,"X",IF((D33+F33+H33+J33+L33)=0,0,""))</f>
        <v>0</v>
      </c>
    </row>
    <row r="34" spans="1:13" ht="51.75" customHeight="1">
      <c r="A34" s="89" t="s">
        <v>89</v>
      </c>
      <c r="B34" s="83" t="s">
        <v>168</v>
      </c>
      <c r="C34" s="77"/>
      <c r="D34" s="36" t="s">
        <v>24</v>
      </c>
      <c r="E34" s="15" t="s">
        <v>162</v>
      </c>
      <c r="F34" s="36" t="s">
        <v>24</v>
      </c>
      <c r="G34" s="15" t="s">
        <v>163</v>
      </c>
      <c r="H34" s="36" t="s">
        <v>24</v>
      </c>
      <c r="I34" s="15" t="s">
        <v>164</v>
      </c>
      <c r="J34" s="36" t="s">
        <v>24</v>
      </c>
      <c r="K34" s="15" t="s">
        <v>165</v>
      </c>
      <c r="L34" s="120" t="s">
        <v>153</v>
      </c>
      <c r="M34" s="13"/>
    </row>
    <row r="35" spans="1:13" ht="37.5" customHeight="1">
      <c r="A35" s="90"/>
      <c r="B35" s="80"/>
      <c r="C35" s="77"/>
      <c r="D35" s="36" t="s">
        <v>30</v>
      </c>
      <c r="E35" s="15" t="s">
        <v>154</v>
      </c>
      <c r="F35" s="36" t="s">
        <v>30</v>
      </c>
      <c r="G35" s="100" t="s">
        <v>155</v>
      </c>
      <c r="H35" s="36" t="s">
        <v>30</v>
      </c>
      <c r="I35" s="100" t="s">
        <v>166</v>
      </c>
      <c r="J35" s="36" t="s">
        <v>30</v>
      </c>
      <c r="K35" s="100" t="s">
        <v>167</v>
      </c>
      <c r="L35" s="121"/>
      <c r="M35" s="13"/>
    </row>
    <row r="36" spans="1:13" ht="21.75" customHeight="1">
      <c r="A36" s="90"/>
      <c r="B36" s="80"/>
      <c r="C36" s="77"/>
      <c r="D36" s="36" t="s">
        <v>32</v>
      </c>
      <c r="E36" s="15" t="s">
        <v>157</v>
      </c>
      <c r="F36" s="36"/>
      <c r="G36" s="101"/>
      <c r="H36" s="36"/>
      <c r="I36" s="101"/>
      <c r="J36" s="36"/>
      <c r="K36" s="101"/>
      <c r="L36" s="121"/>
      <c r="M36" s="13"/>
    </row>
    <row r="37" spans="1:13" ht="57.75" customHeight="1">
      <c r="A37" s="91"/>
      <c r="B37" s="81"/>
      <c r="C37" s="82"/>
      <c r="D37" s="37" t="s">
        <v>84</v>
      </c>
      <c r="E37" s="17" t="s">
        <v>158</v>
      </c>
      <c r="F37" s="37"/>
      <c r="G37" s="102"/>
      <c r="H37" s="37"/>
      <c r="I37" s="102"/>
      <c r="J37" s="37"/>
      <c r="K37" s="102"/>
      <c r="L37" s="122"/>
      <c r="M37" s="13"/>
    </row>
    <row r="38" spans="1:13" ht="18.75" customHeight="1">
      <c r="A38" s="84" t="s">
        <v>34</v>
      </c>
      <c r="B38" s="74"/>
      <c r="C38" s="75"/>
      <c r="D38" s="85"/>
      <c r="E38" s="75"/>
      <c r="F38" s="85"/>
      <c r="G38" s="75"/>
      <c r="H38" s="85">
        <v>1</v>
      </c>
      <c r="I38" s="75"/>
      <c r="J38" s="123"/>
      <c r="K38" s="75"/>
      <c r="L38" s="39"/>
      <c r="M38" s="13" t="str">
        <f>IF((D38+F38+H38+J38+L38)&gt;1,"X",IF((D38+F38+H38+J38+L38)=0,0,""))</f>
        <v/>
      </c>
    </row>
    <row r="39" spans="1:13" ht="38.25" customHeight="1">
      <c r="A39" s="89" t="s">
        <v>106</v>
      </c>
      <c r="B39" s="83" t="s">
        <v>169</v>
      </c>
      <c r="C39" s="77"/>
      <c r="D39" s="36" t="s">
        <v>24</v>
      </c>
      <c r="E39" s="15" t="s">
        <v>162</v>
      </c>
      <c r="F39" s="36" t="s">
        <v>24</v>
      </c>
      <c r="G39" s="15" t="s">
        <v>163</v>
      </c>
      <c r="H39" s="36" t="s">
        <v>24</v>
      </c>
      <c r="I39" s="15" t="s">
        <v>164</v>
      </c>
      <c r="J39" s="36" t="s">
        <v>24</v>
      </c>
      <c r="K39" s="15" t="s">
        <v>165</v>
      </c>
      <c r="L39" s="120" t="s">
        <v>153</v>
      </c>
      <c r="M39" s="13"/>
    </row>
    <row r="40" spans="1:13" ht="37.5" customHeight="1">
      <c r="A40" s="90"/>
      <c r="B40" s="80"/>
      <c r="C40" s="77"/>
      <c r="D40" s="36" t="s">
        <v>30</v>
      </c>
      <c r="E40" s="15" t="s">
        <v>154</v>
      </c>
      <c r="F40" s="36" t="s">
        <v>30</v>
      </c>
      <c r="G40" s="100" t="s">
        <v>155</v>
      </c>
      <c r="H40" s="36" t="s">
        <v>30</v>
      </c>
      <c r="I40" s="100" t="s">
        <v>166</v>
      </c>
      <c r="J40" s="36" t="s">
        <v>30</v>
      </c>
      <c r="K40" s="100" t="s">
        <v>167</v>
      </c>
      <c r="L40" s="121"/>
      <c r="M40" s="13"/>
    </row>
    <row r="41" spans="1:13" ht="21.75" customHeight="1">
      <c r="A41" s="90"/>
      <c r="B41" s="80"/>
      <c r="C41" s="77"/>
      <c r="D41" s="36" t="s">
        <v>32</v>
      </c>
      <c r="E41" s="15" t="s">
        <v>157</v>
      </c>
      <c r="F41" s="36"/>
      <c r="G41" s="101"/>
      <c r="H41" s="36"/>
      <c r="I41" s="101"/>
      <c r="J41" s="36"/>
      <c r="K41" s="101"/>
      <c r="L41" s="121"/>
      <c r="M41" s="13"/>
    </row>
    <row r="42" spans="1:13" ht="57.75" customHeight="1">
      <c r="A42" s="91"/>
      <c r="B42" s="81"/>
      <c r="C42" s="82"/>
      <c r="D42" s="37" t="s">
        <v>84</v>
      </c>
      <c r="E42" s="17" t="s">
        <v>158</v>
      </c>
      <c r="F42" s="37"/>
      <c r="G42" s="102"/>
      <c r="H42" s="37"/>
      <c r="I42" s="102"/>
      <c r="J42" s="37"/>
      <c r="K42" s="102"/>
      <c r="L42" s="122"/>
      <c r="M42" s="13"/>
    </row>
    <row r="43" spans="1:13" ht="18.75" customHeight="1">
      <c r="A43" s="84" t="s">
        <v>34</v>
      </c>
      <c r="B43" s="74"/>
      <c r="C43" s="75"/>
      <c r="D43" s="85"/>
      <c r="E43" s="75"/>
      <c r="F43" s="85"/>
      <c r="G43" s="75"/>
      <c r="H43" s="85"/>
      <c r="I43" s="75"/>
      <c r="J43" s="123"/>
      <c r="K43" s="75"/>
      <c r="L43" s="39"/>
      <c r="M43" s="13">
        <f>IF((D43+F43+H43+J43+L43)&gt;1,"X",IF((D43+F43+H43+J43+L43)=0,0,""))</f>
        <v>0</v>
      </c>
    </row>
    <row r="44" spans="1:13" ht="38.25" customHeight="1">
      <c r="A44" s="89" t="s">
        <v>108</v>
      </c>
      <c r="B44" s="83" t="s">
        <v>170</v>
      </c>
      <c r="C44" s="77"/>
      <c r="D44" s="36" t="s">
        <v>24</v>
      </c>
      <c r="E44" s="15" t="s">
        <v>162</v>
      </c>
      <c r="F44" s="36" t="s">
        <v>24</v>
      </c>
      <c r="G44" s="15" t="s">
        <v>163</v>
      </c>
      <c r="H44" s="36" t="s">
        <v>24</v>
      </c>
      <c r="I44" s="15" t="s">
        <v>164</v>
      </c>
      <c r="J44" s="36" t="s">
        <v>24</v>
      </c>
      <c r="K44" s="15" t="s">
        <v>165</v>
      </c>
      <c r="L44" s="120" t="s">
        <v>153</v>
      </c>
      <c r="M44" s="13"/>
    </row>
    <row r="45" spans="1:13" ht="37.5" customHeight="1">
      <c r="A45" s="90"/>
      <c r="B45" s="80"/>
      <c r="C45" s="77"/>
      <c r="D45" s="36" t="s">
        <v>30</v>
      </c>
      <c r="E45" s="15" t="s">
        <v>154</v>
      </c>
      <c r="F45" s="36" t="s">
        <v>30</v>
      </c>
      <c r="G45" s="100" t="s">
        <v>155</v>
      </c>
      <c r="H45" s="36" t="s">
        <v>30</v>
      </c>
      <c r="I45" s="100" t="s">
        <v>166</v>
      </c>
      <c r="J45" s="36" t="s">
        <v>30</v>
      </c>
      <c r="K45" s="100" t="s">
        <v>167</v>
      </c>
      <c r="L45" s="121"/>
      <c r="M45" s="13"/>
    </row>
    <row r="46" spans="1:13" ht="21.75" customHeight="1">
      <c r="A46" s="90"/>
      <c r="B46" s="80"/>
      <c r="C46" s="77"/>
      <c r="D46" s="36" t="s">
        <v>32</v>
      </c>
      <c r="E46" s="15" t="s">
        <v>157</v>
      </c>
      <c r="F46" s="36"/>
      <c r="G46" s="101"/>
      <c r="H46" s="36"/>
      <c r="I46" s="101"/>
      <c r="J46" s="36"/>
      <c r="K46" s="101"/>
      <c r="L46" s="121"/>
      <c r="M46" s="13"/>
    </row>
    <row r="47" spans="1:13" ht="57.75" customHeight="1">
      <c r="A47" s="91"/>
      <c r="B47" s="81"/>
      <c r="C47" s="82"/>
      <c r="D47" s="37" t="s">
        <v>84</v>
      </c>
      <c r="E47" s="17" t="s">
        <v>158</v>
      </c>
      <c r="F47" s="37"/>
      <c r="G47" s="102"/>
      <c r="H47" s="37"/>
      <c r="I47" s="102"/>
      <c r="J47" s="37"/>
      <c r="K47" s="102"/>
      <c r="L47" s="122"/>
      <c r="M47" s="13"/>
    </row>
    <row r="48" spans="1:13" ht="18" customHeight="1">
      <c r="A48" s="84" t="s">
        <v>34</v>
      </c>
      <c r="B48" s="74"/>
      <c r="C48" s="75"/>
      <c r="D48" s="85"/>
      <c r="E48" s="75"/>
      <c r="F48" s="85"/>
      <c r="G48" s="75"/>
      <c r="H48" s="85"/>
      <c r="I48" s="75"/>
      <c r="J48" s="123"/>
      <c r="K48" s="75"/>
      <c r="L48" s="39"/>
      <c r="M48" s="13">
        <f>IF((D48+F48+H48+J48+L48)&gt;1,"X",IF((D48+F48+H48+J48+L48)=0,0,""))</f>
        <v>0</v>
      </c>
    </row>
    <row r="49" spans="1:13" ht="16.5" customHeight="1">
      <c r="A49" s="126" t="s">
        <v>171</v>
      </c>
      <c r="B49" s="74"/>
      <c r="C49" s="75"/>
      <c r="D49" s="132">
        <f>IF(SUM(D18+D23+D28+D33+D38+D43+D48)="","",(SUM(D18+D23+D28+D33+D38+D43+D48)))</f>
        <v>0</v>
      </c>
      <c r="E49" s="75"/>
      <c r="F49" s="132">
        <f>IF(SUM(F18+F23+F28+F33+F38+F43+F48)="","",(SUM(F18+F23+F28+F33+F38+F43+F48)))</f>
        <v>1</v>
      </c>
      <c r="G49" s="75"/>
      <c r="H49" s="132">
        <f>IF(SUM(H18+H23+H28+H33+H38+H43+H48)="","",(SUM(H18+H23+H28+H33+H38+H43+H48)))</f>
        <v>1</v>
      </c>
      <c r="I49" s="75"/>
      <c r="J49" s="132">
        <f>IF(SUM(J18+J23+J28+J33+J38+J43+J48)="","",(SUM(J18+J23+J28+J33+J38+J43+J48)))</f>
        <v>0</v>
      </c>
      <c r="K49" s="75"/>
      <c r="L49" s="41">
        <f>IF(SUM(L18+L23+L28+L33+L38+L43+L48)="","",(SUM(L18+L23+L28+L33+L38+L43+L48)))</f>
        <v>0</v>
      </c>
      <c r="M49" s="1"/>
    </row>
    <row r="50" spans="1:13" ht="16.5" customHeight="1">
      <c r="A50" s="126" t="s">
        <v>40</v>
      </c>
      <c r="B50" s="74"/>
      <c r="C50" s="75"/>
      <c r="D50" s="132">
        <f>IF((D49)="","",(D49)*D13)</f>
        <v>0</v>
      </c>
      <c r="E50" s="75"/>
      <c r="F50" s="132">
        <f>IF((F49)="","",(F49)*F13)</f>
        <v>3</v>
      </c>
      <c r="G50" s="75"/>
      <c r="H50" s="132">
        <f>IF((H49)="","",(H49)*H13)</f>
        <v>2</v>
      </c>
      <c r="I50" s="75"/>
      <c r="J50" s="132">
        <f>IF((J49)="","",(J49)*J13)</f>
        <v>0</v>
      </c>
      <c r="K50" s="75"/>
      <c r="L50" s="41">
        <f>IF((L49)="","",(L49)*L13)</f>
        <v>0</v>
      </c>
      <c r="M50" s="1"/>
    </row>
    <row r="51" spans="1:13" ht="16.5" customHeight="1">
      <c r="A51" s="124" t="s">
        <v>172</v>
      </c>
      <c r="B51" s="71"/>
      <c r="C51" s="87"/>
      <c r="D51" s="125">
        <f>IF(M51="X","X",SUM(D50:L50))</f>
        <v>5</v>
      </c>
      <c r="E51" s="71"/>
      <c r="F51" s="71"/>
      <c r="G51" s="71"/>
      <c r="H51" s="71"/>
      <c r="I51" s="71"/>
      <c r="J51" s="71"/>
      <c r="K51" s="71"/>
      <c r="L51" s="72"/>
      <c r="M51" s="22">
        <f>IF(OR(M48="X",M43="X",M38="X",M33="X",M28="X",M23="X",M18="X"),"X",1)</f>
        <v>1</v>
      </c>
    </row>
    <row r="52" spans="1:13" ht="12.75" customHeight="1">
      <c r="A52" s="1"/>
      <c r="B52" s="1"/>
      <c r="C52" s="1"/>
      <c r="D52" s="1"/>
      <c r="E52" s="1"/>
      <c r="F52" s="1"/>
      <c r="G52" s="1"/>
      <c r="H52" s="1"/>
      <c r="I52" s="1"/>
      <c r="J52" s="1"/>
      <c r="K52" s="1"/>
      <c r="L52" s="1"/>
      <c r="M52" s="1"/>
    </row>
    <row r="53" spans="1:13" ht="12.75" hidden="1" customHeight="1">
      <c r="A53" s="1"/>
      <c r="B53" s="1"/>
      <c r="C53" s="1"/>
      <c r="D53" s="1"/>
      <c r="E53" s="1"/>
      <c r="F53" s="1"/>
      <c r="G53" s="1"/>
      <c r="H53" s="1"/>
      <c r="I53" s="1"/>
      <c r="J53" s="1"/>
      <c r="K53" s="1"/>
      <c r="L53" s="1"/>
      <c r="M53" s="1"/>
    </row>
    <row r="54" spans="1:13" ht="12.75" hidden="1" customHeight="1">
      <c r="A54" s="1"/>
      <c r="B54" s="1"/>
      <c r="C54" s="1"/>
      <c r="D54" s="1"/>
      <c r="E54" s="1"/>
      <c r="F54" s="1"/>
      <c r="G54" s="1"/>
      <c r="H54" s="1"/>
      <c r="I54" s="1"/>
      <c r="J54" s="1"/>
      <c r="K54" s="1"/>
      <c r="L54" s="1"/>
      <c r="M54" s="1"/>
    </row>
    <row r="55" spans="1:13" ht="12.75" hidden="1" customHeight="1">
      <c r="A55" s="1"/>
      <c r="B55" s="1"/>
      <c r="C55" s="1"/>
      <c r="D55" s="1"/>
      <c r="E55" s="1"/>
      <c r="F55" s="1"/>
      <c r="G55" s="1"/>
      <c r="H55" s="1"/>
      <c r="I55" s="1"/>
      <c r="J55" s="1"/>
      <c r="K55" s="1"/>
      <c r="L55" s="1"/>
      <c r="M55" s="1"/>
    </row>
    <row r="56" spans="1:13" ht="12.75" customHeight="1">
      <c r="A56" s="1"/>
      <c r="B56" s="1"/>
      <c r="C56" s="1"/>
      <c r="D56" s="1"/>
      <c r="E56" s="1"/>
      <c r="F56" s="1"/>
      <c r="G56" s="1"/>
      <c r="H56" s="1"/>
      <c r="I56" s="1"/>
      <c r="J56" s="1"/>
      <c r="K56" s="1"/>
      <c r="L56" s="1"/>
      <c r="M56" s="1"/>
    </row>
    <row r="57" spans="1:13" ht="12.75" customHeight="1">
      <c r="A57" s="1"/>
      <c r="B57" s="1"/>
      <c r="C57" s="1"/>
      <c r="D57" s="1"/>
      <c r="E57" s="1"/>
      <c r="F57" s="1"/>
      <c r="G57" s="1"/>
      <c r="H57" s="1"/>
      <c r="I57" s="1"/>
      <c r="J57" s="1"/>
      <c r="K57" s="1"/>
      <c r="L57" s="1"/>
      <c r="M57" s="1"/>
    </row>
    <row r="58" spans="1:13" ht="12.75" customHeight="1">
      <c r="A58" s="1"/>
      <c r="B58" s="1"/>
      <c r="C58" s="1"/>
      <c r="D58" s="1"/>
      <c r="E58" s="1"/>
      <c r="F58" s="1"/>
      <c r="G58" s="1"/>
      <c r="H58" s="1"/>
      <c r="I58" s="1"/>
      <c r="J58" s="1"/>
      <c r="K58" s="1"/>
      <c r="L58" s="1"/>
      <c r="M58" s="1"/>
    </row>
    <row r="59" spans="1:13" ht="12.75" customHeight="1">
      <c r="A59" s="1"/>
      <c r="B59" s="1"/>
      <c r="C59" s="1"/>
      <c r="D59" s="1"/>
      <c r="E59" s="1"/>
      <c r="F59" s="1"/>
      <c r="G59" s="1"/>
      <c r="H59" s="1"/>
      <c r="I59" s="1"/>
      <c r="J59" s="1"/>
      <c r="K59" s="1"/>
      <c r="L59" s="1"/>
      <c r="M59" s="1"/>
    </row>
    <row r="60" spans="1:13" ht="12.75" customHeight="1">
      <c r="A60" s="1"/>
      <c r="B60" s="1"/>
      <c r="C60" s="1"/>
      <c r="D60" s="1"/>
      <c r="E60" s="1"/>
      <c r="F60" s="1"/>
      <c r="G60" s="1"/>
      <c r="H60" s="1"/>
      <c r="I60" s="1"/>
      <c r="J60" s="1"/>
      <c r="K60" s="1"/>
      <c r="L60" s="1"/>
      <c r="M60" s="1"/>
    </row>
    <row r="61" spans="1:13" ht="12.75" hidden="1" customHeight="1">
      <c r="A61" s="1"/>
      <c r="B61" s="1"/>
      <c r="C61" s="1"/>
      <c r="D61" s="1"/>
      <c r="E61" s="1"/>
      <c r="F61" s="1"/>
      <c r="G61" s="1"/>
      <c r="H61" s="1"/>
      <c r="I61" s="23"/>
      <c r="J61" s="23"/>
      <c r="K61" s="23"/>
      <c r="L61" s="1"/>
      <c r="M61" s="1"/>
    </row>
    <row r="62" spans="1:13" ht="12.75" hidden="1" customHeight="1">
      <c r="A62" s="1"/>
      <c r="B62" s="1"/>
      <c r="C62" s="24"/>
      <c r="D62" s="1"/>
      <c r="E62" s="1"/>
      <c r="F62" s="1"/>
      <c r="G62" s="1"/>
      <c r="H62" s="1"/>
      <c r="I62" s="23"/>
      <c r="J62" s="23"/>
      <c r="K62" s="23"/>
      <c r="L62" s="1"/>
      <c r="M62" s="1"/>
    </row>
    <row r="63" spans="1:13" ht="12.75" hidden="1" customHeight="1">
      <c r="A63" s="1"/>
      <c r="B63" s="76"/>
      <c r="C63" s="77"/>
      <c r="D63" s="1"/>
      <c r="E63" s="1"/>
      <c r="F63" s="1"/>
      <c r="G63" s="1"/>
      <c r="H63" s="1"/>
      <c r="I63" s="23"/>
      <c r="J63" s="23"/>
      <c r="K63" s="23"/>
      <c r="L63" s="1"/>
      <c r="M63" s="1"/>
    </row>
    <row r="64" spans="1:13" ht="12.75" hidden="1" customHeight="1">
      <c r="A64" s="1"/>
      <c r="B64" s="77"/>
      <c r="C64" s="77"/>
      <c r="D64" s="1"/>
      <c r="E64" s="1"/>
      <c r="F64" s="1"/>
      <c r="G64" s="1"/>
      <c r="H64" s="1"/>
      <c r="I64" s="1"/>
      <c r="J64" s="1"/>
      <c r="K64" s="1"/>
      <c r="L64" s="1"/>
      <c r="M64" s="1"/>
    </row>
    <row r="65" spans="1:13" ht="12.75" customHeight="1">
      <c r="A65" s="1"/>
      <c r="B65" s="1"/>
      <c r="C65" s="1"/>
      <c r="D65" s="1"/>
      <c r="E65" s="1"/>
      <c r="F65" s="1"/>
      <c r="G65" s="1"/>
      <c r="H65" s="1"/>
      <c r="I65" s="1"/>
      <c r="J65" s="1"/>
      <c r="K65" s="1"/>
      <c r="L65" s="1"/>
      <c r="M65" s="1"/>
    </row>
    <row r="66" spans="1:13" ht="12.75" customHeight="1">
      <c r="A66" s="1"/>
      <c r="B66" s="1"/>
      <c r="C66" s="1"/>
      <c r="D66" s="1"/>
      <c r="E66" s="1"/>
      <c r="F66" s="1"/>
      <c r="G66" s="1"/>
      <c r="H66" s="1"/>
      <c r="I66" s="1"/>
      <c r="J66" s="1"/>
      <c r="K66" s="1"/>
      <c r="L66" s="1"/>
      <c r="M66" s="1"/>
    </row>
    <row r="67" spans="1:13" ht="12.75" customHeight="1">
      <c r="A67" s="1"/>
      <c r="B67" s="1"/>
      <c r="C67" s="1"/>
      <c r="D67" s="1"/>
      <c r="E67" s="1"/>
      <c r="F67" s="1"/>
      <c r="G67" s="1"/>
      <c r="H67" s="1"/>
      <c r="I67" s="1"/>
      <c r="J67" s="1"/>
      <c r="K67" s="1"/>
      <c r="L67" s="1"/>
      <c r="M67" s="1"/>
    </row>
    <row r="68" spans="1:13" ht="12.75" customHeight="1">
      <c r="A68" s="1"/>
      <c r="B68" s="1"/>
      <c r="C68" s="1"/>
      <c r="D68" s="1"/>
      <c r="E68" s="1"/>
      <c r="F68" s="1"/>
      <c r="G68" s="1"/>
      <c r="H68" s="1"/>
      <c r="I68" s="1"/>
      <c r="J68" s="1"/>
      <c r="K68" s="1"/>
      <c r="L68" s="1"/>
      <c r="M68" s="1"/>
    </row>
    <row r="69" spans="1:13" ht="12.75" customHeight="1">
      <c r="A69" s="1"/>
      <c r="B69" s="1"/>
      <c r="C69" s="1"/>
      <c r="D69" s="1"/>
      <c r="E69" s="1"/>
      <c r="F69" s="1"/>
      <c r="G69" s="1"/>
      <c r="H69" s="1"/>
      <c r="I69" s="1"/>
      <c r="J69" s="1"/>
      <c r="K69" s="1"/>
      <c r="L69" s="1"/>
      <c r="M69" s="1"/>
    </row>
    <row r="70" spans="1:13" ht="12.75" customHeight="1">
      <c r="A70" s="1"/>
      <c r="B70" s="1"/>
      <c r="C70" s="1"/>
      <c r="D70" s="1"/>
      <c r="E70" s="1"/>
      <c r="F70" s="1"/>
      <c r="G70" s="1"/>
      <c r="H70" s="1"/>
      <c r="I70" s="1"/>
      <c r="J70" s="1"/>
      <c r="K70" s="1"/>
      <c r="L70" s="1"/>
      <c r="M70" s="1"/>
    </row>
    <row r="71" spans="1:13" ht="12.75" customHeight="1">
      <c r="A71" s="1"/>
      <c r="B71" s="1"/>
      <c r="C71" s="1"/>
      <c r="D71" s="1"/>
      <c r="E71" s="1"/>
      <c r="F71" s="1"/>
      <c r="G71" s="1"/>
      <c r="H71" s="1"/>
      <c r="I71" s="1"/>
      <c r="J71" s="1"/>
      <c r="K71" s="1"/>
      <c r="L71" s="1"/>
      <c r="M71" s="1"/>
    </row>
    <row r="72" spans="1:13" ht="12.75" customHeight="1">
      <c r="A72" s="1"/>
      <c r="B72" s="1"/>
      <c r="C72" s="1"/>
      <c r="D72" s="1"/>
      <c r="E72" s="1"/>
      <c r="F72" s="1"/>
      <c r="G72" s="1"/>
      <c r="H72" s="1"/>
      <c r="I72" s="1"/>
      <c r="J72" s="1"/>
      <c r="K72" s="1"/>
      <c r="L72" s="1"/>
      <c r="M72" s="1"/>
    </row>
    <row r="73" spans="1:13" ht="12.75" customHeight="1">
      <c r="A73" s="1"/>
      <c r="B73" s="1"/>
      <c r="C73" s="1"/>
      <c r="D73" s="1"/>
      <c r="E73" s="1"/>
      <c r="F73" s="1"/>
      <c r="G73" s="1"/>
      <c r="H73" s="1"/>
      <c r="I73" s="1"/>
      <c r="J73" s="1"/>
      <c r="K73" s="1"/>
      <c r="L73" s="1"/>
      <c r="M73" s="1"/>
    </row>
    <row r="74" spans="1:13" ht="12.75" customHeight="1">
      <c r="A74" s="1"/>
      <c r="B74" s="1"/>
      <c r="C74" s="1"/>
      <c r="D74" s="1"/>
      <c r="E74" s="1"/>
      <c r="F74" s="1"/>
      <c r="G74" s="1"/>
      <c r="H74" s="1"/>
      <c r="I74" s="1"/>
      <c r="J74" s="1"/>
      <c r="K74" s="1"/>
      <c r="L74" s="1"/>
      <c r="M74" s="1"/>
    </row>
    <row r="75" spans="1:13" ht="12.75" customHeight="1">
      <c r="A75" s="1"/>
      <c r="B75" s="1"/>
      <c r="C75" s="1"/>
      <c r="D75" s="1"/>
      <c r="E75" s="1"/>
      <c r="F75" s="1"/>
      <c r="G75" s="1"/>
      <c r="H75" s="1"/>
      <c r="I75" s="1"/>
      <c r="J75" s="1"/>
      <c r="K75" s="1"/>
      <c r="L75" s="1"/>
      <c r="M75" s="1"/>
    </row>
    <row r="76" spans="1:13" ht="12.75" customHeight="1">
      <c r="A76" s="1"/>
      <c r="B76" s="1"/>
      <c r="C76" s="1"/>
      <c r="D76" s="1"/>
      <c r="E76" s="1"/>
      <c r="F76" s="1"/>
      <c r="G76" s="1"/>
      <c r="H76" s="1"/>
      <c r="I76" s="1"/>
      <c r="J76" s="1"/>
      <c r="K76" s="1"/>
      <c r="L76" s="1"/>
      <c r="M76" s="1"/>
    </row>
    <row r="77" spans="1:13" ht="12.75" customHeight="1">
      <c r="A77" s="1"/>
      <c r="B77" s="1"/>
      <c r="C77" s="1"/>
      <c r="D77" s="1"/>
      <c r="E77" s="1"/>
      <c r="F77" s="1"/>
      <c r="G77" s="1"/>
      <c r="H77" s="1"/>
      <c r="I77" s="1"/>
      <c r="J77" s="1"/>
      <c r="K77" s="1"/>
      <c r="L77" s="1"/>
      <c r="M77" s="1"/>
    </row>
    <row r="78" spans="1:13" ht="12.75" customHeight="1">
      <c r="A78" s="1"/>
      <c r="B78" s="1"/>
      <c r="C78" s="1"/>
      <c r="D78" s="1"/>
      <c r="E78" s="1"/>
      <c r="F78" s="1"/>
      <c r="G78" s="1"/>
      <c r="H78" s="1"/>
      <c r="I78" s="1"/>
      <c r="J78" s="1"/>
      <c r="K78" s="1"/>
      <c r="L78" s="1"/>
      <c r="M78" s="1"/>
    </row>
    <row r="79" spans="1:13" ht="12.75" customHeight="1">
      <c r="A79" s="1"/>
      <c r="B79" s="1"/>
      <c r="C79" s="1"/>
      <c r="D79" s="1"/>
      <c r="E79" s="1"/>
      <c r="F79" s="1"/>
      <c r="G79" s="1"/>
      <c r="H79" s="1"/>
      <c r="I79" s="1"/>
      <c r="J79" s="1"/>
      <c r="K79" s="1"/>
      <c r="L79" s="1"/>
      <c r="M79" s="1"/>
    </row>
    <row r="80" spans="1:13" ht="12.75" customHeight="1">
      <c r="A80" s="1"/>
      <c r="B80" s="1"/>
      <c r="C80" s="1"/>
      <c r="D80" s="1"/>
      <c r="E80" s="1"/>
      <c r="F80" s="1"/>
      <c r="G80" s="1"/>
      <c r="H80" s="1"/>
      <c r="I80" s="1"/>
      <c r="J80" s="1"/>
      <c r="K80" s="1"/>
      <c r="L80" s="1"/>
      <c r="M80" s="1"/>
    </row>
    <row r="81" spans="1:13" ht="12.75" customHeight="1">
      <c r="A81" s="1"/>
      <c r="B81" s="1"/>
      <c r="C81" s="1"/>
      <c r="D81" s="1"/>
      <c r="E81" s="1"/>
      <c r="F81" s="1"/>
      <c r="G81" s="1"/>
      <c r="H81" s="1"/>
      <c r="I81" s="1"/>
      <c r="J81" s="1"/>
      <c r="K81" s="1"/>
      <c r="L81" s="1"/>
      <c r="M81" s="1"/>
    </row>
    <row r="82" spans="1:13" ht="12.75" customHeight="1">
      <c r="A82" s="1"/>
      <c r="B82" s="1"/>
      <c r="C82" s="1"/>
      <c r="D82" s="1"/>
      <c r="E82" s="1"/>
      <c r="F82" s="1"/>
      <c r="G82" s="1"/>
      <c r="H82" s="1"/>
      <c r="I82" s="1"/>
      <c r="J82" s="1"/>
      <c r="K82" s="1"/>
      <c r="L82" s="1"/>
      <c r="M82" s="1"/>
    </row>
    <row r="83" spans="1:13" ht="12.75" customHeight="1">
      <c r="A83" s="1"/>
      <c r="B83" s="1"/>
      <c r="C83" s="1"/>
      <c r="D83" s="1"/>
      <c r="E83" s="1"/>
      <c r="F83" s="1"/>
      <c r="G83" s="1"/>
      <c r="H83" s="1"/>
      <c r="I83" s="1"/>
      <c r="J83" s="1"/>
      <c r="K83" s="1"/>
      <c r="L83" s="1"/>
      <c r="M83" s="1"/>
    </row>
    <row r="84" spans="1:13" ht="12.75" customHeight="1">
      <c r="A84" s="1"/>
      <c r="B84" s="1"/>
      <c r="C84" s="1"/>
      <c r="D84" s="1"/>
      <c r="E84" s="1"/>
      <c r="F84" s="1"/>
      <c r="G84" s="1"/>
      <c r="H84" s="1"/>
      <c r="I84" s="1"/>
      <c r="J84" s="1"/>
      <c r="K84" s="1"/>
      <c r="L84" s="1"/>
      <c r="M84" s="1"/>
    </row>
    <row r="85" spans="1:13" ht="12.75" customHeight="1">
      <c r="A85" s="1"/>
      <c r="B85" s="1"/>
      <c r="C85" s="1"/>
      <c r="D85" s="1"/>
      <c r="E85" s="1"/>
      <c r="F85" s="1"/>
      <c r="G85" s="1"/>
      <c r="H85" s="1"/>
      <c r="I85" s="1"/>
      <c r="J85" s="1"/>
      <c r="K85" s="1"/>
      <c r="L85" s="1"/>
      <c r="M85" s="1"/>
    </row>
    <row r="86" spans="1:13" ht="12.75" customHeight="1">
      <c r="A86" s="1"/>
      <c r="B86" s="1"/>
      <c r="C86" s="1"/>
      <c r="D86" s="1"/>
      <c r="E86" s="1"/>
      <c r="F86" s="1"/>
      <c r="G86" s="1"/>
      <c r="H86" s="1"/>
      <c r="I86" s="1"/>
      <c r="J86" s="1"/>
      <c r="K86" s="1"/>
      <c r="L86" s="1"/>
      <c r="M86" s="1"/>
    </row>
    <row r="87" spans="1:13" ht="12.75" customHeight="1">
      <c r="A87" s="1"/>
      <c r="B87" s="1"/>
      <c r="C87" s="1"/>
      <c r="D87" s="1"/>
      <c r="E87" s="1"/>
      <c r="F87" s="1"/>
      <c r="G87" s="1"/>
      <c r="H87" s="1"/>
      <c r="I87" s="1"/>
      <c r="J87" s="1"/>
      <c r="K87" s="1"/>
      <c r="L87" s="1"/>
      <c r="M87" s="1"/>
    </row>
    <row r="88" spans="1:13" ht="12.75" customHeight="1">
      <c r="A88" s="1"/>
      <c r="B88" s="1"/>
      <c r="C88" s="1"/>
      <c r="D88" s="1"/>
      <c r="E88" s="1"/>
      <c r="F88" s="1"/>
      <c r="G88" s="1"/>
      <c r="H88" s="1"/>
      <c r="I88" s="1"/>
      <c r="J88" s="1"/>
      <c r="K88" s="1"/>
      <c r="L88" s="1"/>
      <c r="M88" s="1"/>
    </row>
    <row r="89" spans="1:13" ht="12.75" customHeight="1">
      <c r="A89" s="1"/>
      <c r="B89" s="1"/>
      <c r="C89" s="1"/>
      <c r="D89" s="1"/>
      <c r="E89" s="1"/>
      <c r="F89" s="1"/>
      <c r="G89" s="1"/>
      <c r="H89" s="1"/>
      <c r="I89" s="1"/>
      <c r="J89" s="1"/>
      <c r="K89" s="1"/>
      <c r="L89" s="1"/>
      <c r="M89" s="1"/>
    </row>
    <row r="90" spans="1:13" ht="12.75" customHeight="1">
      <c r="A90" s="1"/>
      <c r="B90" s="1"/>
      <c r="C90" s="1"/>
      <c r="D90" s="1"/>
      <c r="E90" s="1"/>
      <c r="F90" s="1"/>
      <c r="G90" s="1"/>
      <c r="H90" s="1"/>
      <c r="I90" s="1"/>
      <c r="J90" s="1"/>
      <c r="K90" s="1"/>
      <c r="L90" s="1"/>
      <c r="M90" s="1"/>
    </row>
    <row r="91" spans="1:13" ht="12.75" customHeight="1">
      <c r="A91" s="1"/>
      <c r="B91" s="1"/>
      <c r="C91" s="1"/>
      <c r="D91" s="1"/>
      <c r="E91" s="1"/>
      <c r="F91" s="1"/>
      <c r="G91" s="1"/>
      <c r="H91" s="1"/>
      <c r="I91" s="1"/>
      <c r="J91" s="1"/>
      <c r="K91" s="1"/>
      <c r="L91" s="1"/>
      <c r="M91" s="1"/>
    </row>
    <row r="92" spans="1:13" ht="12.75" customHeight="1">
      <c r="A92" s="1"/>
      <c r="B92" s="1"/>
      <c r="C92" s="1"/>
      <c r="D92" s="1"/>
      <c r="E92" s="1"/>
      <c r="F92" s="1"/>
      <c r="G92" s="1"/>
      <c r="H92" s="1"/>
      <c r="I92" s="1"/>
      <c r="J92" s="1"/>
      <c r="K92" s="1"/>
      <c r="L92" s="1"/>
      <c r="M92" s="1"/>
    </row>
    <row r="93" spans="1:13" ht="12.75" customHeight="1">
      <c r="A93" s="1"/>
      <c r="B93" s="1"/>
      <c r="C93" s="1"/>
      <c r="D93" s="1"/>
      <c r="E93" s="1"/>
      <c r="F93" s="1"/>
      <c r="G93" s="1"/>
      <c r="H93" s="1"/>
      <c r="I93" s="1"/>
      <c r="J93" s="1"/>
      <c r="K93" s="1"/>
      <c r="L93" s="1"/>
      <c r="M93" s="1"/>
    </row>
    <row r="94" spans="1:13" ht="12.75" customHeight="1">
      <c r="A94" s="1"/>
      <c r="B94" s="1"/>
      <c r="C94" s="1"/>
      <c r="D94" s="1"/>
      <c r="E94" s="1"/>
      <c r="F94" s="1"/>
      <c r="G94" s="1"/>
      <c r="H94" s="1"/>
      <c r="I94" s="1"/>
      <c r="J94" s="1"/>
      <c r="K94" s="1"/>
      <c r="L94" s="1"/>
      <c r="M94" s="1"/>
    </row>
    <row r="95" spans="1:13" ht="12.75" customHeight="1">
      <c r="A95" s="1"/>
      <c r="B95" s="1"/>
      <c r="C95" s="1"/>
      <c r="D95" s="1"/>
      <c r="E95" s="1"/>
      <c r="F95" s="1"/>
      <c r="G95" s="1"/>
      <c r="H95" s="1"/>
      <c r="I95" s="1"/>
      <c r="J95" s="1"/>
      <c r="K95" s="1"/>
      <c r="L95" s="1"/>
      <c r="M95" s="1"/>
    </row>
    <row r="96" spans="1:13" ht="12.75" customHeight="1">
      <c r="A96" s="1"/>
      <c r="B96" s="1"/>
      <c r="C96" s="1"/>
      <c r="D96" s="1"/>
      <c r="E96" s="1"/>
      <c r="F96" s="1"/>
      <c r="G96" s="1"/>
      <c r="H96" s="1"/>
      <c r="I96" s="1"/>
      <c r="J96" s="1"/>
      <c r="K96" s="1"/>
      <c r="L96" s="1"/>
      <c r="M96" s="1"/>
    </row>
    <row r="97" spans="1:13" ht="12.75" customHeight="1">
      <c r="A97" s="1"/>
      <c r="B97" s="1"/>
      <c r="C97" s="1"/>
      <c r="D97" s="1"/>
      <c r="E97" s="1"/>
      <c r="F97" s="1"/>
      <c r="G97" s="1"/>
      <c r="H97" s="1"/>
      <c r="I97" s="1"/>
      <c r="J97" s="1"/>
      <c r="K97" s="1"/>
      <c r="L97" s="1"/>
      <c r="M97" s="1"/>
    </row>
    <row r="98" spans="1:13" ht="12.75" customHeight="1">
      <c r="A98" s="1"/>
      <c r="B98" s="1"/>
      <c r="C98" s="1"/>
      <c r="D98" s="1"/>
      <c r="E98" s="1"/>
      <c r="F98" s="1"/>
      <c r="G98" s="1"/>
      <c r="H98" s="1"/>
      <c r="I98" s="1"/>
      <c r="J98" s="1"/>
      <c r="K98" s="1"/>
      <c r="L98" s="1"/>
      <c r="M98" s="1"/>
    </row>
    <row r="99" spans="1:13" ht="12.75" customHeight="1">
      <c r="A99" s="1"/>
      <c r="B99" s="1"/>
      <c r="C99" s="1"/>
      <c r="D99" s="1"/>
      <c r="E99" s="1"/>
      <c r="F99" s="1"/>
      <c r="G99" s="1"/>
      <c r="H99" s="1"/>
      <c r="I99" s="1"/>
      <c r="J99" s="1"/>
      <c r="K99" s="1"/>
      <c r="L99" s="1"/>
      <c r="M99" s="1"/>
    </row>
    <row r="100" spans="1:13" ht="12.75" customHeight="1">
      <c r="A100" s="1"/>
      <c r="B100" s="1"/>
      <c r="C100" s="1"/>
      <c r="D100" s="1"/>
      <c r="E100" s="1"/>
      <c r="F100" s="1"/>
      <c r="G100" s="1"/>
      <c r="H100" s="1"/>
      <c r="I100" s="1"/>
      <c r="J100" s="1"/>
      <c r="K100" s="1"/>
      <c r="L100" s="1"/>
      <c r="M100" s="1"/>
    </row>
  </sheetData>
  <mergeCells count="106">
    <mergeCell ref="D33:E33"/>
    <mergeCell ref="H38:I38"/>
    <mergeCell ref="D50:E50"/>
    <mergeCell ref="D48:E48"/>
    <mergeCell ref="D49:E49"/>
    <mergeCell ref="D43:E43"/>
    <mergeCell ref="J43:K43"/>
    <mergeCell ref="F43:G43"/>
    <mergeCell ref="H43:I43"/>
    <mergeCell ref="F48:G48"/>
    <mergeCell ref="G45:G47"/>
    <mergeCell ref="F49:G49"/>
    <mergeCell ref="H49:I49"/>
    <mergeCell ref="H50:I50"/>
    <mergeCell ref="H48:I48"/>
    <mergeCell ref="J50:K50"/>
    <mergeCell ref="J49:K49"/>
    <mergeCell ref="F50:G50"/>
    <mergeCell ref="K40:K42"/>
    <mergeCell ref="L24:L27"/>
    <mergeCell ref="J23:K23"/>
    <mergeCell ref="G25:G27"/>
    <mergeCell ref="K25:K27"/>
    <mergeCell ref="K15:K17"/>
    <mergeCell ref="J18:K18"/>
    <mergeCell ref="G20:G22"/>
    <mergeCell ref="H18:I18"/>
    <mergeCell ref="A23:C23"/>
    <mergeCell ref="B19:C22"/>
    <mergeCell ref="A19:A22"/>
    <mergeCell ref="F23:G23"/>
    <mergeCell ref="L19:L22"/>
    <mergeCell ref="K20:K22"/>
    <mergeCell ref="D12:L12"/>
    <mergeCell ref="A13:C13"/>
    <mergeCell ref="D13:E13"/>
    <mergeCell ref="F13:G13"/>
    <mergeCell ref="I15:I17"/>
    <mergeCell ref="G15:G17"/>
    <mergeCell ref="D18:E18"/>
    <mergeCell ref="F18:G18"/>
    <mergeCell ref="A14:A17"/>
    <mergeCell ref="B14:C17"/>
    <mergeCell ref="A18:C18"/>
    <mergeCell ref="L14:L17"/>
    <mergeCell ref="B63:C64"/>
    <mergeCell ref="A24:A27"/>
    <mergeCell ref="B24:C27"/>
    <mergeCell ref="A34:A37"/>
    <mergeCell ref="B34:C37"/>
    <mergeCell ref="A29:A32"/>
    <mergeCell ref="A50:C50"/>
    <mergeCell ref="A49:C49"/>
    <mergeCell ref="A4:L4"/>
    <mergeCell ref="A5:B5"/>
    <mergeCell ref="C5:L5"/>
    <mergeCell ref="A6:L6"/>
    <mergeCell ref="A7:L7"/>
    <mergeCell ref="A8:L8"/>
    <mergeCell ref="A9:L9"/>
    <mergeCell ref="I20:I22"/>
    <mergeCell ref="I25:I27"/>
    <mergeCell ref="H13:I13"/>
    <mergeCell ref="J13:K13"/>
    <mergeCell ref="A10:L10"/>
    <mergeCell ref="A11:L11"/>
    <mergeCell ref="A12:C12"/>
    <mergeCell ref="H23:I23"/>
    <mergeCell ref="D23:E23"/>
    <mergeCell ref="A51:C51"/>
    <mergeCell ref="D28:E28"/>
    <mergeCell ref="J28:K28"/>
    <mergeCell ref="F28:G28"/>
    <mergeCell ref="H28:I28"/>
    <mergeCell ref="A43:C43"/>
    <mergeCell ref="A44:A47"/>
    <mergeCell ref="B44:C47"/>
    <mergeCell ref="A48:C48"/>
    <mergeCell ref="B29:C32"/>
    <mergeCell ref="A33:C33"/>
    <mergeCell ref="A38:C38"/>
    <mergeCell ref="A39:A42"/>
    <mergeCell ref="B39:C42"/>
    <mergeCell ref="G40:G42"/>
    <mergeCell ref="I40:I42"/>
    <mergeCell ref="A28:C28"/>
    <mergeCell ref="D38:E38"/>
    <mergeCell ref="D51:L51"/>
    <mergeCell ref="I45:I47"/>
    <mergeCell ref="J48:K48"/>
    <mergeCell ref="L29:L32"/>
    <mergeCell ref="K30:K32"/>
    <mergeCell ref="L39:L42"/>
    <mergeCell ref="L44:L47"/>
    <mergeCell ref="K45:K47"/>
    <mergeCell ref="J38:K38"/>
    <mergeCell ref="F33:G33"/>
    <mergeCell ref="H33:I33"/>
    <mergeCell ref="G30:G32"/>
    <mergeCell ref="I30:I32"/>
    <mergeCell ref="J33:K33"/>
    <mergeCell ref="L34:L37"/>
    <mergeCell ref="K35:K37"/>
    <mergeCell ref="G35:G37"/>
    <mergeCell ref="I35:I37"/>
    <mergeCell ref="F38:G38"/>
  </mergeCells>
  <conditionalFormatting sqref="M18">
    <cfRule type="expression" dxfId="6" priority="1">
      <formula>"X"</formula>
    </cfRule>
  </conditionalFormatting>
  <conditionalFormatting sqref="M23">
    <cfRule type="expression" dxfId="5" priority="2">
      <formula>"X"</formula>
    </cfRule>
  </conditionalFormatting>
  <conditionalFormatting sqref="M28">
    <cfRule type="expression" dxfId="4" priority="3">
      <formula>"X"</formula>
    </cfRule>
  </conditionalFormatting>
  <conditionalFormatting sqref="M33">
    <cfRule type="expression" dxfId="3" priority="4">
      <formula>"X"</formula>
    </cfRule>
  </conditionalFormatting>
  <conditionalFormatting sqref="M38">
    <cfRule type="expression" dxfId="2" priority="5">
      <formula>"X"</formula>
    </cfRule>
  </conditionalFormatting>
  <conditionalFormatting sqref="M43">
    <cfRule type="expression" dxfId="1" priority="6">
      <formula>"X"</formula>
    </cfRule>
  </conditionalFormatting>
  <conditionalFormatting sqref="M48">
    <cfRule type="expression" dxfId="0" priority="7">
      <formula>"X"</formula>
    </cfRule>
  </conditionalFormatting>
  <pageMargins left="0" right="0" top="0.74791666666666701" bottom="0.74791666666666701" header="0" footer="0"/>
  <pageSetup paperSize="9" scale="71" fitToHeight="0"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C2:Q100"/>
  <sheetViews>
    <sheetView tabSelected="1" topLeftCell="D1" workbookViewId="0">
      <selection activeCell="D17" sqref="D17"/>
    </sheetView>
  </sheetViews>
  <sheetFormatPr defaultColWidth="14.36328125" defaultRowHeight="15" customHeight="1"/>
  <cols>
    <col min="1" max="2" width="8.90625" customWidth="1"/>
    <col min="3" max="3" width="30.1796875" customWidth="1"/>
    <col min="4" max="4" width="13.1796875" customWidth="1"/>
    <col min="5" max="5" width="14.26953125" customWidth="1"/>
    <col min="6" max="6" width="10.08984375" customWidth="1"/>
    <col min="7" max="7" width="16.6328125" customWidth="1"/>
    <col min="8" max="8" width="12.08984375" customWidth="1"/>
    <col min="9" max="16" width="8.90625" customWidth="1"/>
    <col min="17" max="17" width="19" customWidth="1"/>
  </cols>
  <sheetData>
    <row r="2" spans="3:17" ht="14.5">
      <c r="C2" s="42" t="s">
        <v>173</v>
      </c>
      <c r="D2" s="42" t="s">
        <v>174</v>
      </c>
      <c r="E2" s="42" t="s">
        <v>175</v>
      </c>
      <c r="F2" s="42" t="s">
        <v>176</v>
      </c>
      <c r="G2" s="42" t="s">
        <v>177</v>
      </c>
      <c r="H2" s="42" t="s">
        <v>178</v>
      </c>
      <c r="I2" s="43" t="s">
        <v>12</v>
      </c>
      <c r="J2" s="43" t="s">
        <v>43</v>
      </c>
      <c r="K2" s="43" t="s">
        <v>56</v>
      </c>
      <c r="L2" s="43" t="s">
        <v>71</v>
      </c>
      <c r="M2" s="43" t="s">
        <v>94</v>
      </c>
      <c r="N2" s="43" t="s">
        <v>112</v>
      </c>
      <c r="O2" s="43" t="s">
        <v>125</v>
      </c>
      <c r="P2" s="43" t="s">
        <v>143</v>
      </c>
      <c r="Q2" s="44" t="s">
        <v>179</v>
      </c>
    </row>
    <row r="3" spans="3:17" ht="29">
      <c r="C3" s="45">
        <f>'4.1.1'!C4</f>
        <v>0</v>
      </c>
      <c r="D3" s="46">
        <f>'4.1.1'!C5</f>
        <v>0</v>
      </c>
      <c r="E3" s="45">
        <f>'4.1.1'!C6</f>
        <v>0</v>
      </c>
      <c r="F3" s="45">
        <f>'4.1.1'!C7</f>
        <v>0</v>
      </c>
      <c r="G3" s="45">
        <f>'4.1.1'!C8</f>
        <v>0</v>
      </c>
      <c r="H3" s="45">
        <f>'4.1.1'!C9</f>
        <v>0</v>
      </c>
      <c r="I3" s="47">
        <f>IFERROR('4.1.1'!D39/12*100*0.1,"X")</f>
        <v>0</v>
      </c>
      <c r="J3" s="47">
        <f>IFERROR('4.2.1'!D28/12*100*0.1,"X")</f>
        <v>0</v>
      </c>
      <c r="K3" s="47">
        <f>IFERROR('4.2.2'!D32/16*100*0.05,"X")</f>
        <v>4.375</v>
      </c>
      <c r="L3" s="47">
        <f>IFERROR('4.3.1'!D41/20*100*0.15,"X")</f>
        <v>0</v>
      </c>
      <c r="M3" s="47">
        <f>IFERROR('4.4.1'!D44/28*100*0.25,"X")</f>
        <v>0</v>
      </c>
      <c r="N3" s="47">
        <f>IFERROR('4.4.2'!D32/16*100*0.05,"X")</f>
        <v>0</v>
      </c>
      <c r="O3" s="47">
        <f>IFERROR('4.5.1'!D41/20*100*0.1,"X")</f>
        <v>0</v>
      </c>
      <c r="P3" s="47">
        <f>IFERROR('4.6.1'!D51/28*100*0.2,"X")</f>
        <v>3.5714285714285716</v>
      </c>
      <c r="Q3" s="48">
        <f>SUM(I3:P3)</f>
        <v>7.9464285714285712</v>
      </c>
    </row>
    <row r="5" spans="3:17" ht="15" customHeight="1">
      <c r="D5" t="s">
        <v>181</v>
      </c>
    </row>
    <row r="7" spans="3:17" ht="15" customHeight="1">
      <c r="D7" s="49" t="s">
        <v>180</v>
      </c>
    </row>
    <row r="16" spans="3:17" ht="15" customHeight="1">
      <c r="D16" s="49" t="s">
        <v>182</v>
      </c>
      <c r="E16" s="49"/>
    </row>
    <row r="17" spans="4:5" ht="15" customHeight="1">
      <c r="D17" s="49" t="s">
        <v>183</v>
      </c>
      <c r="E17" s="49"/>
    </row>
    <row r="21" spans="4:5" ht="15.75" customHeight="1"/>
    <row r="22" spans="4:5" ht="15.75" customHeight="1"/>
    <row r="23" spans="4:5" ht="15.75" customHeight="1"/>
    <row r="24" spans="4:5" ht="15.75" customHeight="1"/>
    <row r="25" spans="4:5" ht="15.75" customHeight="1"/>
    <row r="26" spans="4:5" ht="15.75" customHeight="1"/>
    <row r="27" spans="4:5" ht="15.75" customHeight="1"/>
    <row r="28" spans="4:5" ht="15.75" customHeight="1"/>
    <row r="29" spans="4:5" ht="15.75" customHeight="1"/>
    <row r="30" spans="4:5" ht="15.75" customHeight="1"/>
    <row r="31" spans="4:5" ht="15.75" customHeight="1"/>
    <row r="32" spans="4: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 right="0.7" top="0.75" bottom="0.75" header="0" footer="0"/>
  <pageSetup paperSize="9" scale="42" fitToHeight="0" orientation="portrait" horizontalDpi="4294967293"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4.1.1</vt:lpstr>
      <vt:lpstr>4.2.1</vt:lpstr>
      <vt:lpstr>4.2.2</vt:lpstr>
      <vt:lpstr>4.3.1</vt:lpstr>
      <vt:lpstr>4.4.1</vt:lpstr>
      <vt:lpstr>4.4.2</vt:lpstr>
      <vt:lpstr>4.5.1</vt:lpstr>
      <vt:lpstr>4.6.1</vt:lpstr>
      <vt:lpstr>Rumusan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0</cp:revision>
  <cp:lastPrinted>2026-08-17T22:15:41Z</cp:lastPrinted>
  <dcterms:created xsi:type="dcterms:W3CDTF">2021-06-15T12:27:03Z</dcterms:created>
  <dcterms:modified xsi:type="dcterms:W3CDTF">2026-08-17T22:16:43Z</dcterms:modified>
  <dc:language>en-MY</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